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htrape\Desktop\AZ_Eneagrama\eneagrama-app\data\"/>
    </mc:Choice>
  </mc:AlternateContent>
  <xr:revisionPtr revIDLastSave="0" documentId="13_ncr:1_{730A21FF-E1D6-43DB-97C5-A166C3698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FIRMACIONES" sheetId="1" r:id="rId1"/>
    <sheet name="ENEAGRAMA" sheetId="2" r:id="rId2"/>
    <sheet name="PLANILLA PARA EL FORMADOR" sheetId="3" r:id="rId3"/>
    <sheet name="ENEGRAMA ANTERIO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ZzUcSTMd0/OxKDGfh36W0IuyN4nU+9zG5y5pMJVMmUw="/>
    </ext>
  </extLst>
</workbook>
</file>

<file path=xl/calcChain.xml><?xml version="1.0" encoding="utf-8"?>
<calcChain xmlns="http://schemas.openxmlformats.org/spreadsheetml/2006/main">
  <c r="L233" i="4" l="1"/>
  <c r="H233" i="4"/>
  <c r="D233" i="4"/>
  <c r="L232" i="4"/>
  <c r="L230" i="4"/>
  <c r="H230" i="4"/>
  <c r="D230" i="4"/>
  <c r="L229" i="4"/>
  <c r="H229" i="4"/>
  <c r="D228" i="4"/>
  <c r="R226" i="4"/>
  <c r="L226" i="4"/>
  <c r="H225" i="4"/>
  <c r="D225" i="4"/>
  <c r="L224" i="4"/>
  <c r="H224" i="4"/>
  <c r="D224" i="4"/>
  <c r="R219" i="4"/>
  <c r="K218" i="4"/>
  <c r="H218" i="4"/>
  <c r="R217" i="4"/>
  <c r="E217" i="4"/>
  <c r="K216" i="4"/>
  <c r="H216" i="4"/>
  <c r="R210" i="4"/>
  <c r="G210" i="4"/>
  <c r="L208" i="4"/>
  <c r="G208" i="4"/>
  <c r="C208" i="4"/>
  <c r="G207" i="4"/>
  <c r="J197" i="4"/>
  <c r="H197" i="4"/>
  <c r="G197" i="4"/>
  <c r="F197" i="4"/>
  <c r="E197" i="4"/>
  <c r="D197" i="4"/>
  <c r="C197" i="4"/>
  <c r="T192" i="4"/>
  <c r="Q192" i="4"/>
  <c r="P192" i="4"/>
  <c r="O192" i="4"/>
  <c r="M192" i="4"/>
  <c r="P176" i="4"/>
  <c r="P175" i="4"/>
  <c r="P174" i="4"/>
  <c r="J174" i="4"/>
  <c r="R223" i="4" s="1"/>
  <c r="I174" i="4"/>
  <c r="C210" i="4" s="1"/>
  <c r="H174" i="4"/>
  <c r="L234" i="4" s="1"/>
  <c r="G174" i="4"/>
  <c r="R209" i="4" s="1"/>
  <c r="F174" i="4"/>
  <c r="R222" i="4" s="1"/>
  <c r="E174" i="4"/>
  <c r="R206" i="4" s="1"/>
  <c r="D174" i="4"/>
  <c r="N192" i="4" s="1"/>
  <c r="C174" i="4"/>
  <c r="B174" i="4"/>
  <c r="E218" i="4" s="1"/>
  <c r="P173" i="4"/>
  <c r="S172" i="4"/>
  <c r="P172" i="4"/>
  <c r="M172" i="4"/>
  <c r="F171" i="4"/>
  <c r="M168" i="4"/>
  <c r="I168" i="4"/>
  <c r="Q158" i="4"/>
  <c r="E158" i="4"/>
  <c r="Q148" i="4"/>
  <c r="K134" i="4"/>
  <c r="R116" i="4"/>
  <c r="AH82" i="4"/>
  <c r="AG82" i="4"/>
  <c r="AF82" i="4"/>
  <c r="AE82" i="4"/>
  <c r="AD82" i="4"/>
  <c r="AI82" i="4" s="1"/>
  <c r="AC82" i="4"/>
  <c r="AB82" i="4"/>
  <c r="AA82" i="4"/>
  <c r="Z82" i="4"/>
  <c r="AJ11" i="4"/>
  <c r="AJ10" i="4"/>
  <c r="AJ9" i="4"/>
  <c r="AJ8" i="4"/>
  <c r="AJ7" i="4"/>
  <c r="I237" i="4" s="1"/>
  <c r="AJ6" i="4"/>
  <c r="AJ5" i="4"/>
  <c r="AJ4" i="4"/>
  <c r="AJ3" i="4"/>
  <c r="AJ2" i="4"/>
  <c r="D237" i="4" s="1"/>
  <c r="T183" i="3"/>
  <c r="P183" i="3"/>
  <c r="T182" i="3"/>
  <c r="P182" i="3"/>
  <c r="T179" i="3"/>
  <c r="M179" i="3"/>
  <c r="T177" i="3"/>
  <c r="M177" i="3"/>
  <c r="T175" i="3"/>
  <c r="M175" i="3"/>
  <c r="P172" i="3"/>
  <c r="P171" i="3"/>
  <c r="P170" i="3"/>
  <c r="P169" i="3"/>
  <c r="S168" i="3"/>
  <c r="M168" i="3"/>
  <c r="R105" i="3" s="1"/>
  <c r="F167" i="3"/>
  <c r="F104" i="3" s="1"/>
  <c r="V102" i="3"/>
  <c r="J102" i="3"/>
  <c r="AF79" i="3" s="1"/>
  <c r="E102" i="3"/>
  <c r="AA79" i="3" s="1"/>
  <c r="V101" i="3"/>
  <c r="G101" i="3"/>
  <c r="O100" i="3"/>
  <c r="E100" i="3"/>
  <c r="R99" i="3"/>
  <c r="D99" i="3"/>
  <c r="W98" i="3"/>
  <c r="F98" i="3"/>
  <c r="Q97" i="3"/>
  <c r="K97" i="3"/>
  <c r="U96" i="3"/>
  <c r="I96" i="3"/>
  <c r="P95" i="3"/>
  <c r="L95" i="3"/>
  <c r="T94" i="3"/>
  <c r="J94" i="3"/>
  <c r="S93" i="3"/>
  <c r="H93" i="3"/>
  <c r="T92" i="3"/>
  <c r="K92" i="3"/>
  <c r="U91" i="3"/>
  <c r="J91" i="3"/>
  <c r="R90" i="3"/>
  <c r="L90" i="3"/>
  <c r="S89" i="3"/>
  <c r="E89" i="3"/>
  <c r="O88" i="3"/>
  <c r="G88" i="3"/>
  <c r="Q87" i="3"/>
  <c r="D87" i="3"/>
  <c r="P86" i="3"/>
  <c r="F86" i="3"/>
  <c r="W85" i="3"/>
  <c r="I85" i="3"/>
  <c r="V84" i="3"/>
  <c r="H84" i="3"/>
  <c r="O83" i="3"/>
  <c r="E83" i="3"/>
  <c r="P82" i="3"/>
  <c r="K82" i="3"/>
  <c r="Q81" i="3"/>
  <c r="H81" i="3"/>
  <c r="AG80" i="3"/>
  <c r="X80" i="3"/>
  <c r="S80" i="3"/>
  <c r="J80" i="3"/>
  <c r="X79" i="3"/>
  <c r="V79" i="3"/>
  <c r="G79" i="3"/>
  <c r="W78" i="3"/>
  <c r="L78" i="3"/>
  <c r="R77" i="3"/>
  <c r="I77" i="3"/>
  <c r="T76" i="3"/>
  <c r="F76" i="3"/>
  <c r="AH75" i="3"/>
  <c r="AH81" i="3" s="1"/>
  <c r="U75" i="3"/>
  <c r="D75" i="3"/>
  <c r="AA74" i="3"/>
  <c r="V74" i="3"/>
  <c r="K74" i="3"/>
  <c r="AE73" i="3"/>
  <c r="P73" i="3"/>
  <c r="J73" i="3"/>
  <c r="Z72" i="3"/>
  <c r="Q72" i="3"/>
  <c r="D72" i="3"/>
  <c r="AC71" i="3"/>
  <c r="AC75" i="3" s="1"/>
  <c r="AC81" i="3" s="1"/>
  <c r="O71" i="3"/>
  <c r="F71" i="3"/>
  <c r="AH70" i="3"/>
  <c r="R70" i="3"/>
  <c r="L70" i="3"/>
  <c r="AF69" i="3"/>
  <c r="U69" i="3"/>
  <c r="H69" i="3"/>
  <c r="AD68" i="3"/>
  <c r="W68" i="3"/>
  <c r="I68" i="3"/>
  <c r="AB67" i="3"/>
  <c r="S67" i="3"/>
  <c r="G67" i="3"/>
  <c r="AG66" i="3"/>
  <c r="T66" i="3"/>
  <c r="E66" i="3"/>
  <c r="AC65" i="3"/>
  <c r="V65" i="3"/>
  <c r="L65" i="3"/>
  <c r="AF64" i="3"/>
  <c r="W64" i="3"/>
  <c r="D64" i="3"/>
  <c r="AE63" i="3"/>
  <c r="U63" i="3"/>
  <c r="K63" i="3"/>
  <c r="AA62" i="3"/>
  <c r="O62" i="3"/>
  <c r="I62" i="3"/>
  <c r="AH61" i="3"/>
  <c r="R61" i="3"/>
  <c r="G61" i="3"/>
  <c r="AB60" i="3"/>
  <c r="S60" i="3"/>
  <c r="H60" i="3"/>
  <c r="Z59" i="3"/>
  <c r="P59" i="3"/>
  <c r="F59" i="3"/>
  <c r="AD58" i="3"/>
  <c r="T58" i="3"/>
  <c r="J58" i="3"/>
  <c r="AG57" i="3"/>
  <c r="Q57" i="3"/>
  <c r="E57" i="3"/>
  <c r="AA56" i="3"/>
  <c r="V56" i="3"/>
  <c r="I56" i="3"/>
  <c r="AF55" i="3"/>
  <c r="O55" i="3"/>
  <c r="D55" i="3"/>
  <c r="AC54" i="3"/>
  <c r="Q54" i="3"/>
  <c r="J54" i="3"/>
  <c r="AE53" i="3"/>
  <c r="S53" i="3"/>
  <c r="G53" i="3"/>
  <c r="AH52" i="3"/>
  <c r="P52" i="3"/>
  <c r="F52" i="3"/>
  <c r="AD51" i="3"/>
  <c r="U51" i="3"/>
  <c r="K51" i="3"/>
  <c r="AG50" i="3"/>
  <c r="W50" i="3"/>
  <c r="L50" i="3"/>
  <c r="Z49" i="3"/>
  <c r="R49" i="3"/>
  <c r="H49" i="3"/>
  <c r="AB48" i="3"/>
  <c r="T48" i="3"/>
  <c r="E48" i="3"/>
  <c r="AB47" i="3"/>
  <c r="O47" i="3"/>
  <c r="I47" i="3"/>
  <c r="AA46" i="3"/>
  <c r="V46" i="3"/>
  <c r="F46" i="3"/>
  <c r="AF45" i="3"/>
  <c r="P45" i="3"/>
  <c r="L45" i="3"/>
  <c r="Z44" i="3"/>
  <c r="Q44" i="3"/>
  <c r="J44" i="3"/>
  <c r="AE43" i="3"/>
  <c r="R43" i="3"/>
  <c r="K43" i="3"/>
  <c r="AD42" i="3"/>
  <c r="S42" i="3"/>
  <c r="E42" i="3"/>
  <c r="AC41" i="3"/>
  <c r="U41" i="3"/>
  <c r="D41" i="3"/>
  <c r="AH40" i="3"/>
  <c r="T40" i="3"/>
  <c r="H40" i="3"/>
  <c r="AG39" i="3"/>
  <c r="AG75" i="3" s="1"/>
  <c r="AG81" i="3" s="1"/>
  <c r="W39" i="3"/>
  <c r="G39" i="3"/>
  <c r="AB38" i="3"/>
  <c r="W38" i="3"/>
  <c r="J38" i="3"/>
  <c r="AF37" i="3"/>
  <c r="R37" i="3"/>
  <c r="G37" i="3"/>
  <c r="AC36" i="3"/>
  <c r="S36" i="3"/>
  <c r="L36" i="3"/>
  <c r="AH35" i="3"/>
  <c r="U35" i="3"/>
  <c r="I35" i="3"/>
  <c r="AG34" i="3"/>
  <c r="Q34" i="3"/>
  <c r="D34" i="3"/>
  <c r="AE33" i="3"/>
  <c r="V33" i="3"/>
  <c r="H33" i="3"/>
  <c r="AD32" i="3"/>
  <c r="P32" i="3"/>
  <c r="K32" i="3"/>
  <c r="AA31" i="3"/>
  <c r="O31" i="3"/>
  <c r="F31" i="3"/>
  <c r="Z30" i="3"/>
  <c r="T30" i="3"/>
  <c r="E30" i="3"/>
  <c r="AE29" i="3"/>
  <c r="T29" i="3"/>
  <c r="I29" i="3"/>
  <c r="AA28" i="3"/>
  <c r="W28" i="3"/>
  <c r="F28" i="3"/>
  <c r="Z27" i="3"/>
  <c r="V27" i="3"/>
  <c r="L27" i="3"/>
  <c r="L102" i="3" s="1"/>
  <c r="AH79" i="3" s="1"/>
  <c r="AD26" i="3"/>
  <c r="R26" i="3"/>
  <c r="D26" i="3"/>
  <c r="AG25" i="3"/>
  <c r="P25" i="3"/>
  <c r="J25" i="3"/>
  <c r="AH24" i="3"/>
  <c r="S24" i="3"/>
  <c r="G24" i="3"/>
  <c r="AF23" i="3"/>
  <c r="O23" i="3"/>
  <c r="E23" i="3"/>
  <c r="AC22" i="3"/>
  <c r="U22" i="3"/>
  <c r="H22" i="3"/>
  <c r="AB21" i="3"/>
  <c r="Q21" i="3"/>
  <c r="K21" i="3"/>
  <c r="AF20" i="3"/>
  <c r="W20" i="3"/>
  <c r="H20" i="3"/>
  <c r="AG19" i="3"/>
  <c r="O19" i="3"/>
  <c r="E19" i="3"/>
  <c r="AC18" i="3"/>
  <c r="T18" i="3"/>
  <c r="I18" i="3"/>
  <c r="AH17" i="3"/>
  <c r="R17" i="3"/>
  <c r="D17" i="3"/>
  <c r="AE16" i="3"/>
  <c r="AE75" i="3" s="1"/>
  <c r="AE81" i="3" s="1"/>
  <c r="Q16" i="3"/>
  <c r="F16" i="3"/>
  <c r="Z15" i="3"/>
  <c r="S15" i="3"/>
  <c r="K15" i="3"/>
  <c r="AB14" i="3"/>
  <c r="V14" i="3"/>
  <c r="J14" i="3"/>
  <c r="AA13" i="3"/>
  <c r="U13" i="3"/>
  <c r="G13" i="3"/>
  <c r="AD12" i="3"/>
  <c r="P12" i="3"/>
  <c r="L12" i="3"/>
  <c r="AJ11" i="3"/>
  <c r="AD11" i="3"/>
  <c r="AD75" i="3" s="1"/>
  <c r="AD81" i="3" s="1"/>
  <c r="W11" i="3"/>
  <c r="W102" i="3" s="1"/>
  <c r="AH80" i="3" s="1"/>
  <c r="D11" i="3"/>
  <c r="D102" i="3" s="1"/>
  <c r="Z79" i="3" s="1"/>
  <c r="AJ10" i="3"/>
  <c r="AE10" i="3"/>
  <c r="V10" i="3"/>
  <c r="G10" i="3"/>
  <c r="G102" i="3" s="1"/>
  <c r="AC79" i="3" s="1"/>
  <c r="AJ9" i="3"/>
  <c r="AG9" i="3"/>
  <c r="O9" i="3"/>
  <c r="J9" i="3"/>
  <c r="AJ8" i="3"/>
  <c r="Z8" i="3"/>
  <c r="P8" i="3"/>
  <c r="H8" i="3"/>
  <c r="AJ7" i="3"/>
  <c r="AA7" i="3"/>
  <c r="R7" i="3"/>
  <c r="R102" i="3" s="1"/>
  <c r="AC80" i="3" s="1"/>
  <c r="E7" i="3"/>
  <c r="AJ6" i="3"/>
  <c r="AH6" i="3"/>
  <c r="Q6" i="3"/>
  <c r="F6" i="3"/>
  <c r="F102" i="3" s="1"/>
  <c r="AB79" i="3" s="1"/>
  <c r="AJ5" i="3"/>
  <c r="AC5" i="3"/>
  <c r="T5" i="3"/>
  <c r="T102" i="3" s="1"/>
  <c r="AE80" i="3" s="1"/>
  <c r="L5" i="3"/>
  <c r="AJ4" i="3"/>
  <c r="AB4" i="3"/>
  <c r="U4" i="3"/>
  <c r="I4" i="3"/>
  <c r="AJ3" i="3"/>
  <c r="AF3" i="3"/>
  <c r="S3" i="3"/>
  <c r="S102" i="3" s="1"/>
  <c r="AD80" i="3" s="1"/>
  <c r="K3" i="3"/>
  <c r="K102" i="3" s="1"/>
  <c r="AG79" i="3" s="1"/>
  <c r="AJ2" i="3"/>
  <c r="D233" i="3" s="1"/>
  <c r="T159" i="2"/>
  <c r="P159" i="2"/>
  <c r="T158" i="2"/>
  <c r="P158" i="2"/>
  <c r="T155" i="2"/>
  <c r="M155" i="2"/>
  <c r="T153" i="2"/>
  <c r="M153" i="2"/>
  <c r="T151" i="2"/>
  <c r="M151" i="2"/>
  <c r="P148" i="2"/>
  <c r="P147" i="2"/>
  <c r="P146" i="2"/>
  <c r="P145" i="2"/>
  <c r="S144" i="2"/>
  <c r="M144" i="2"/>
  <c r="R105" i="2" s="1"/>
  <c r="F143" i="2"/>
  <c r="F104" i="2"/>
  <c r="J102" i="2"/>
  <c r="AF79" i="2" s="1"/>
  <c r="V101" i="2"/>
  <c r="G101" i="2"/>
  <c r="O100" i="2"/>
  <c r="E100" i="2"/>
  <c r="R99" i="2"/>
  <c r="D99" i="2"/>
  <c r="W98" i="2"/>
  <c r="F98" i="2"/>
  <c r="Q97" i="2"/>
  <c r="K97" i="2"/>
  <c r="U96" i="2"/>
  <c r="I96" i="2"/>
  <c r="P95" i="2"/>
  <c r="L95" i="2"/>
  <c r="T94" i="2"/>
  <c r="J94" i="2"/>
  <c r="S93" i="2"/>
  <c r="H93" i="2"/>
  <c r="T92" i="2"/>
  <c r="K92" i="2"/>
  <c r="U91" i="2"/>
  <c r="J91" i="2"/>
  <c r="R90" i="2"/>
  <c r="L90" i="2"/>
  <c r="S89" i="2"/>
  <c r="E89" i="2"/>
  <c r="O88" i="2"/>
  <c r="G88" i="2"/>
  <c r="Q87" i="2"/>
  <c r="D87" i="2"/>
  <c r="P86" i="2"/>
  <c r="F86" i="2"/>
  <c r="W85" i="2"/>
  <c r="I85" i="2"/>
  <c r="V84" i="2"/>
  <c r="H84" i="2"/>
  <c r="O83" i="2"/>
  <c r="E83" i="2"/>
  <c r="P82" i="2"/>
  <c r="K82" i="2"/>
  <c r="Q81" i="2"/>
  <c r="H81" i="2"/>
  <c r="X80" i="2"/>
  <c r="S80" i="2"/>
  <c r="J80" i="2"/>
  <c r="X79" i="2"/>
  <c r="V79" i="2"/>
  <c r="G79" i="2"/>
  <c r="W78" i="2"/>
  <c r="L78" i="2"/>
  <c r="R77" i="2"/>
  <c r="I77" i="2"/>
  <c r="T76" i="2"/>
  <c r="F76" i="2"/>
  <c r="U75" i="2"/>
  <c r="D75" i="2"/>
  <c r="AA74" i="2"/>
  <c r="V74" i="2"/>
  <c r="K74" i="2"/>
  <c r="AE73" i="2"/>
  <c r="P73" i="2"/>
  <c r="J73" i="2"/>
  <c r="Z72" i="2"/>
  <c r="Q72" i="2"/>
  <c r="D72" i="2"/>
  <c r="AC71" i="2"/>
  <c r="O71" i="2"/>
  <c r="F71" i="2"/>
  <c r="AH70" i="2"/>
  <c r="R70" i="2"/>
  <c r="L70" i="2"/>
  <c r="AF69" i="2"/>
  <c r="U69" i="2"/>
  <c r="H69" i="2"/>
  <c r="AD68" i="2"/>
  <c r="W68" i="2"/>
  <c r="I68" i="2"/>
  <c r="AB67" i="2"/>
  <c r="S67" i="2"/>
  <c r="G67" i="2"/>
  <c r="AG66" i="2"/>
  <c r="T66" i="2"/>
  <c r="E66" i="2"/>
  <c r="AC65" i="2"/>
  <c r="V65" i="2"/>
  <c r="L65" i="2"/>
  <c r="AF64" i="2"/>
  <c r="W64" i="2"/>
  <c r="D64" i="2"/>
  <c r="AE63" i="2"/>
  <c r="U63" i="2"/>
  <c r="K63" i="2"/>
  <c r="AA62" i="2"/>
  <c r="O62" i="2"/>
  <c r="I62" i="2"/>
  <c r="AH61" i="2"/>
  <c r="R61" i="2"/>
  <c r="G61" i="2"/>
  <c r="AB60" i="2"/>
  <c r="S60" i="2"/>
  <c r="H60" i="2"/>
  <c r="Z59" i="2"/>
  <c r="P59" i="2"/>
  <c r="F59" i="2"/>
  <c r="AD58" i="2"/>
  <c r="T58" i="2"/>
  <c r="J58" i="2"/>
  <c r="AG57" i="2"/>
  <c r="Q57" i="2"/>
  <c r="E57" i="2"/>
  <c r="AA56" i="2"/>
  <c r="V56" i="2"/>
  <c r="I56" i="2"/>
  <c r="AF55" i="2"/>
  <c r="O55" i="2"/>
  <c r="D55" i="2"/>
  <c r="AC54" i="2"/>
  <c r="Q54" i="2"/>
  <c r="J54" i="2"/>
  <c r="AE53" i="2"/>
  <c r="S53" i="2"/>
  <c r="G53" i="2"/>
  <c r="AH52" i="2"/>
  <c r="P52" i="2"/>
  <c r="F52" i="2"/>
  <c r="AD51" i="2"/>
  <c r="U51" i="2"/>
  <c r="K51" i="2"/>
  <c r="AG50" i="2"/>
  <c r="W50" i="2"/>
  <c r="L50" i="2"/>
  <c r="Z49" i="2"/>
  <c r="R49" i="2"/>
  <c r="H49" i="2"/>
  <c r="AB48" i="2"/>
  <c r="T48" i="2"/>
  <c r="E48" i="2"/>
  <c r="AB47" i="2"/>
  <c r="O47" i="2"/>
  <c r="I47" i="2"/>
  <c r="AA46" i="2"/>
  <c r="V46" i="2"/>
  <c r="F46" i="2"/>
  <c r="AF45" i="2"/>
  <c r="P45" i="2"/>
  <c r="L45" i="2"/>
  <c r="Z44" i="2"/>
  <c r="Q44" i="2"/>
  <c r="J44" i="2"/>
  <c r="AE43" i="2"/>
  <c r="R43" i="2"/>
  <c r="K43" i="2"/>
  <c r="K102" i="2" s="1"/>
  <c r="AG79" i="2" s="1"/>
  <c r="I146" i="2" s="1"/>
  <c r="AD42" i="2"/>
  <c r="S42" i="2"/>
  <c r="E42" i="2"/>
  <c r="AC41" i="2"/>
  <c r="U41" i="2"/>
  <c r="D41" i="2"/>
  <c r="AH40" i="2"/>
  <c r="T40" i="2"/>
  <c r="H40" i="2"/>
  <c r="AG39" i="2"/>
  <c r="AG75" i="2" s="1"/>
  <c r="AG81" i="2" s="1"/>
  <c r="W39" i="2"/>
  <c r="G39" i="2"/>
  <c r="AB38" i="2"/>
  <c r="W38" i="2"/>
  <c r="J38" i="2"/>
  <c r="AF37" i="2"/>
  <c r="R37" i="2"/>
  <c r="G37" i="2"/>
  <c r="AC36" i="2"/>
  <c r="S36" i="2"/>
  <c r="L36" i="2"/>
  <c r="AH35" i="2"/>
  <c r="U35" i="2"/>
  <c r="I35" i="2"/>
  <c r="AG34" i="2"/>
  <c r="Q34" i="2"/>
  <c r="D34" i="2"/>
  <c r="AE33" i="2"/>
  <c r="V33" i="2"/>
  <c r="H33" i="2"/>
  <c r="AD32" i="2"/>
  <c r="P32" i="2"/>
  <c r="K32" i="2"/>
  <c r="AA31" i="2"/>
  <c r="O31" i="2"/>
  <c r="F31" i="2"/>
  <c r="Z30" i="2"/>
  <c r="T30" i="2"/>
  <c r="E30" i="2"/>
  <c r="AE29" i="2"/>
  <c r="T29" i="2"/>
  <c r="I29" i="2"/>
  <c r="AA28" i="2"/>
  <c r="W28" i="2"/>
  <c r="F28" i="2"/>
  <c r="Z27" i="2"/>
  <c r="V27" i="2"/>
  <c r="L27" i="2"/>
  <c r="AD26" i="2"/>
  <c r="R26" i="2"/>
  <c r="D26" i="2"/>
  <c r="AG25" i="2"/>
  <c r="P25" i="2"/>
  <c r="J25" i="2"/>
  <c r="AH24" i="2"/>
  <c r="S24" i="2"/>
  <c r="G24" i="2"/>
  <c r="AF23" i="2"/>
  <c r="O23" i="2"/>
  <c r="E23" i="2"/>
  <c r="AC22" i="2"/>
  <c r="AC75" i="2" s="1"/>
  <c r="AC81" i="2" s="1"/>
  <c r="U22" i="2"/>
  <c r="H22" i="2"/>
  <c r="AB21" i="2"/>
  <c r="AB75" i="2" s="1"/>
  <c r="AB81" i="2" s="1"/>
  <c r="Q21" i="2"/>
  <c r="K21" i="2"/>
  <c r="AF20" i="2"/>
  <c r="W20" i="2"/>
  <c r="H20" i="2"/>
  <c r="AG19" i="2"/>
  <c r="O19" i="2"/>
  <c r="E19" i="2"/>
  <c r="E102" i="2" s="1"/>
  <c r="AA79" i="2" s="1"/>
  <c r="AC18" i="2"/>
  <c r="T18" i="2"/>
  <c r="I18" i="2"/>
  <c r="AH17" i="2"/>
  <c r="AH75" i="2" s="1"/>
  <c r="AH81" i="2" s="1"/>
  <c r="R17" i="2"/>
  <c r="D17" i="2"/>
  <c r="AE16" i="2"/>
  <c r="Q16" i="2"/>
  <c r="Q102" i="2" s="1"/>
  <c r="AB80" i="2" s="1"/>
  <c r="F16" i="2"/>
  <c r="Z15" i="2"/>
  <c r="S15" i="2"/>
  <c r="K15" i="2"/>
  <c r="AB14" i="2"/>
  <c r="V14" i="2"/>
  <c r="V102" i="2" s="1"/>
  <c r="AG80" i="2" s="1"/>
  <c r="J14" i="2"/>
  <c r="AA13" i="2"/>
  <c r="U13" i="2"/>
  <c r="G13" i="2"/>
  <c r="AD12" i="2"/>
  <c r="P12" i="2"/>
  <c r="L12" i="2"/>
  <c r="AJ11" i="2"/>
  <c r="AD11" i="2"/>
  <c r="AD75" i="2" s="1"/>
  <c r="AD81" i="2" s="1"/>
  <c r="W11" i="2"/>
  <c r="W102" i="2" s="1"/>
  <c r="AH80" i="2" s="1"/>
  <c r="D11" i="2"/>
  <c r="D102" i="2" s="1"/>
  <c r="Z79" i="2" s="1"/>
  <c r="AJ10" i="2"/>
  <c r="AE10" i="2"/>
  <c r="V10" i="2"/>
  <c r="G10" i="2"/>
  <c r="G102" i="2" s="1"/>
  <c r="AC79" i="2" s="1"/>
  <c r="AJ9" i="2"/>
  <c r="AG9" i="2"/>
  <c r="O9" i="2"/>
  <c r="J9" i="2"/>
  <c r="AJ8" i="2"/>
  <c r="Z8" i="2"/>
  <c r="P8" i="2"/>
  <c r="P102" i="2" s="1"/>
  <c r="AA80" i="2" s="1"/>
  <c r="H8" i="2"/>
  <c r="H102" i="2" s="1"/>
  <c r="AD79" i="2" s="1"/>
  <c r="AJ7" i="2"/>
  <c r="AA7" i="2"/>
  <c r="AA75" i="2" s="1"/>
  <c r="AA81" i="2" s="1"/>
  <c r="R7" i="2"/>
  <c r="R102" i="2" s="1"/>
  <c r="AC80" i="2" s="1"/>
  <c r="E7" i="2"/>
  <c r="AJ6" i="2"/>
  <c r="AH6" i="2"/>
  <c r="Q6" i="2"/>
  <c r="F6" i="2"/>
  <c r="F102" i="2" s="1"/>
  <c r="AB79" i="2" s="1"/>
  <c r="AJ5" i="2"/>
  <c r="AC5" i="2"/>
  <c r="T5" i="2"/>
  <c r="L5" i="2"/>
  <c r="AJ4" i="2"/>
  <c r="M209" i="2" s="1"/>
  <c r="AB4" i="2"/>
  <c r="U4" i="2"/>
  <c r="U102" i="2" s="1"/>
  <c r="AF80" i="2" s="1"/>
  <c r="I4" i="2"/>
  <c r="I102" i="2" s="1"/>
  <c r="AE79" i="2" s="1"/>
  <c r="AJ3" i="2"/>
  <c r="AF3" i="2"/>
  <c r="AF75" i="2" s="1"/>
  <c r="AF81" i="2" s="1"/>
  <c r="S3" i="2"/>
  <c r="S102" i="2" s="1"/>
  <c r="AD80" i="2" s="1"/>
  <c r="K3" i="2"/>
  <c r="AJ2" i="2"/>
  <c r="K209" i="2" s="1"/>
  <c r="B300" i="1"/>
  <c r="N21" i="1"/>
  <c r="N20" i="1"/>
  <c r="N19" i="1"/>
  <c r="N18" i="1"/>
  <c r="N17" i="1"/>
  <c r="N16" i="1"/>
  <c r="N15" i="1"/>
  <c r="N14" i="1"/>
  <c r="N13" i="1"/>
  <c r="N12" i="1"/>
  <c r="N11" i="1"/>
  <c r="N10" i="1"/>
  <c r="HO1" i="1"/>
  <c r="P168" i="3" s="1"/>
  <c r="F146" i="2" l="1"/>
  <c r="R183" i="2"/>
  <c r="C182" i="2"/>
  <c r="E118" i="2"/>
  <c r="E188" i="2"/>
  <c r="R199" i="2"/>
  <c r="L198" i="2"/>
  <c r="H198" i="2"/>
  <c r="S164" i="2"/>
  <c r="AG82" i="2"/>
  <c r="D198" i="2"/>
  <c r="I169" i="2"/>
  <c r="E170" i="3"/>
  <c r="C146" i="2"/>
  <c r="H146" i="2"/>
  <c r="D146" i="2"/>
  <c r="I170" i="3"/>
  <c r="J170" i="3"/>
  <c r="E146" i="2"/>
  <c r="B146" i="2"/>
  <c r="S176" i="4"/>
  <c r="S172" i="3"/>
  <c r="M218" i="4"/>
  <c r="N218" i="4" s="1"/>
  <c r="F218" i="4"/>
  <c r="I216" i="4"/>
  <c r="S148" i="2"/>
  <c r="P144" i="2"/>
  <c r="Q102" i="3"/>
  <c r="AB80" i="3" s="1"/>
  <c r="D170" i="3" s="1"/>
  <c r="AF75" i="3"/>
  <c r="AF81" i="3" s="1"/>
  <c r="AA75" i="3"/>
  <c r="AA81" i="3" s="1"/>
  <c r="T217" i="4"/>
  <c r="T218" i="4" s="1"/>
  <c r="T219" i="4" s="1"/>
  <c r="I233" i="3"/>
  <c r="G233" i="3"/>
  <c r="E233" i="3"/>
  <c r="C233" i="3"/>
  <c r="G209" i="2"/>
  <c r="I102" i="3"/>
  <c r="AE79" i="3" s="1"/>
  <c r="G170" i="3" s="1"/>
  <c r="H102" i="3"/>
  <c r="AD79" i="3" s="1"/>
  <c r="F170" i="3" s="1"/>
  <c r="Z75" i="2"/>
  <c r="Z81" i="2" s="1"/>
  <c r="T102" i="2"/>
  <c r="AE80" i="2" s="1"/>
  <c r="G146" i="2" s="1"/>
  <c r="I209" i="2"/>
  <c r="P102" i="3"/>
  <c r="AA80" i="3" s="1"/>
  <c r="C170" i="3" s="1"/>
  <c r="O102" i="2"/>
  <c r="Z80" i="2" s="1"/>
  <c r="AB75" i="3"/>
  <c r="AB81" i="3" s="1"/>
  <c r="Z75" i="3"/>
  <c r="Z81" i="3" s="1"/>
  <c r="I207" i="4"/>
  <c r="I208" i="4" s="1"/>
  <c r="L102" i="2"/>
  <c r="AH79" i="2" s="1"/>
  <c r="J146" i="2" s="1"/>
  <c r="U102" i="3"/>
  <c r="AF80" i="3" s="1"/>
  <c r="H170" i="3" s="1"/>
  <c r="F224" i="4"/>
  <c r="F225" i="4" s="1"/>
  <c r="N232" i="4"/>
  <c r="N233" i="4" s="1"/>
  <c r="O102" i="3"/>
  <c r="Z80" i="3" s="1"/>
  <c r="B170" i="3" s="1"/>
  <c r="E209" i="2"/>
  <c r="D209" i="2"/>
  <c r="C209" i="2"/>
  <c r="AE75" i="2"/>
  <c r="AE81" i="2" s="1"/>
  <c r="K233" i="3"/>
  <c r="R192" i="4"/>
  <c r="E237" i="4"/>
  <c r="M233" i="3"/>
  <c r="H176" i="4"/>
  <c r="J183" i="4" s="1"/>
  <c r="S192" i="4"/>
  <c r="R227" i="4"/>
  <c r="G237" i="4"/>
  <c r="I197" i="4"/>
  <c r="K237" i="4"/>
  <c r="M237" i="4"/>
  <c r="D120" i="4"/>
  <c r="B198" i="4"/>
  <c r="R208" i="4"/>
  <c r="T208" i="4" s="1"/>
  <c r="T209" i="4" s="1"/>
  <c r="R212" i="4"/>
  <c r="R221" i="4"/>
  <c r="T221" i="4" s="1"/>
  <c r="T222" i="4" s="1"/>
  <c r="T223" i="4" s="1"/>
  <c r="L225" i="4"/>
  <c r="N224" i="4" s="1"/>
  <c r="N225" i="4" s="1"/>
  <c r="N226" i="4" s="1"/>
  <c r="H228" i="4"/>
  <c r="J228" i="4" s="1"/>
  <c r="J229" i="4" s="1"/>
  <c r="D234" i="4"/>
  <c r="H183" i="4"/>
  <c r="D198" i="4"/>
  <c r="R204" i="4"/>
  <c r="T204" i="4" s="1"/>
  <c r="T205" i="4" s="1"/>
  <c r="T206" i="4" s="1"/>
  <c r="H217" i="4"/>
  <c r="E140" i="4"/>
  <c r="F198" i="4"/>
  <c r="C209" i="4"/>
  <c r="R213" i="4"/>
  <c r="R225" i="4"/>
  <c r="L228" i="4"/>
  <c r="N228" i="4" s="1"/>
  <c r="N229" i="4" s="1"/>
  <c r="D232" i="4"/>
  <c r="H234" i="4"/>
  <c r="Q140" i="4"/>
  <c r="H198" i="4"/>
  <c r="R205" i="4"/>
  <c r="K217" i="4"/>
  <c r="K219" i="4" s="1"/>
  <c r="K220" i="4" s="1"/>
  <c r="R218" i="4"/>
  <c r="E148" i="4"/>
  <c r="E184" i="4"/>
  <c r="G209" i="4"/>
  <c r="R214" i="4"/>
  <c r="D226" i="4"/>
  <c r="D229" i="4"/>
  <c r="F228" i="4" s="1"/>
  <c r="F229" i="4" s="1"/>
  <c r="H232" i="4"/>
  <c r="L192" i="4"/>
  <c r="E216" i="4"/>
  <c r="H219" i="4"/>
  <c r="H220" i="4" s="1"/>
  <c r="H226" i="4"/>
  <c r="J224" i="4" s="1"/>
  <c r="J225" i="4" s="1"/>
  <c r="J226" i="4" s="1"/>
  <c r="G182" i="4"/>
  <c r="B197" i="4"/>
  <c r="C207" i="4"/>
  <c r="D175" i="4"/>
  <c r="E175" i="4" s="1"/>
  <c r="C237" i="4"/>
  <c r="G193" i="3" l="1"/>
  <c r="G206" i="3"/>
  <c r="D226" i="3"/>
  <c r="Q188" i="3"/>
  <c r="R215" i="3"/>
  <c r="AF82" i="3"/>
  <c r="L230" i="3"/>
  <c r="H221" i="3"/>
  <c r="K214" i="3"/>
  <c r="R206" i="3"/>
  <c r="H178" i="3"/>
  <c r="E144" i="3"/>
  <c r="L229" i="3"/>
  <c r="C178" i="3"/>
  <c r="C204" i="3"/>
  <c r="Q144" i="3"/>
  <c r="D193" i="3"/>
  <c r="P188" i="3"/>
  <c r="H212" i="3"/>
  <c r="H225" i="3"/>
  <c r="C179" i="3"/>
  <c r="R200" i="3"/>
  <c r="D194" i="3"/>
  <c r="D224" i="3"/>
  <c r="AA82" i="3"/>
  <c r="R217" i="3"/>
  <c r="Q154" i="3"/>
  <c r="D221" i="3"/>
  <c r="F193" i="3"/>
  <c r="H220" i="3"/>
  <c r="J220" i="3" s="1"/>
  <c r="N188" i="3"/>
  <c r="R214" i="3"/>
  <c r="R201" i="3"/>
  <c r="L224" i="3"/>
  <c r="C205" i="3"/>
  <c r="F194" i="3"/>
  <c r="H213" i="3"/>
  <c r="AB82" i="3"/>
  <c r="D178" i="3"/>
  <c r="K221" i="4"/>
  <c r="P247" i="4"/>
  <c r="X98" i="4"/>
  <c r="Y98" i="4" s="1"/>
  <c r="Q246" i="4" s="1"/>
  <c r="R198" i="2"/>
  <c r="L196" i="2"/>
  <c r="N196" i="2" s="1"/>
  <c r="E169" i="2"/>
  <c r="E136" i="2"/>
  <c r="D201" i="2"/>
  <c r="G181" i="2"/>
  <c r="R180" i="2"/>
  <c r="K189" i="2"/>
  <c r="O164" i="2"/>
  <c r="H202" i="2"/>
  <c r="AE82" i="2"/>
  <c r="B178" i="3"/>
  <c r="R188" i="3"/>
  <c r="E214" i="3"/>
  <c r="L225" i="3"/>
  <c r="R213" i="3"/>
  <c r="T213" i="3" s="1"/>
  <c r="C203" i="3"/>
  <c r="B193" i="3"/>
  <c r="D220" i="3"/>
  <c r="D109" i="3"/>
  <c r="R210" i="3"/>
  <c r="H172" i="3"/>
  <c r="Q136" i="3"/>
  <c r="E180" i="3"/>
  <c r="Z82" i="3"/>
  <c r="H224" i="3"/>
  <c r="J224" i="3" s="1"/>
  <c r="D171" i="3"/>
  <c r="E171" i="3" s="1"/>
  <c r="B194" i="3"/>
  <c r="H200" i="4"/>
  <c r="H201" i="4"/>
  <c r="L180" i="2"/>
  <c r="D206" i="2"/>
  <c r="E189" i="2"/>
  <c r="K112" i="2"/>
  <c r="L204" i="2"/>
  <c r="R195" i="2"/>
  <c r="AH82" i="2"/>
  <c r="T164" i="2"/>
  <c r="R184" i="2"/>
  <c r="T183" i="2" s="1"/>
  <c r="J169" i="2"/>
  <c r="H206" i="2"/>
  <c r="L216" i="4"/>
  <c r="X96" i="4"/>
  <c r="Y96" i="4" s="1"/>
  <c r="Q242" i="4" s="1"/>
  <c r="P243" i="4"/>
  <c r="J230" i="4"/>
  <c r="H200" i="2"/>
  <c r="J200" i="2" s="1"/>
  <c r="B170" i="2"/>
  <c r="E156" i="2"/>
  <c r="R164" i="2"/>
  <c r="E190" i="2"/>
  <c r="D109" i="2"/>
  <c r="Q118" i="2"/>
  <c r="Z82" i="2"/>
  <c r="D147" i="2"/>
  <c r="E147" i="2" s="1"/>
  <c r="B169" i="2"/>
  <c r="D196" i="2"/>
  <c r="F196" i="2" s="1"/>
  <c r="R185" i="2"/>
  <c r="R189" i="2"/>
  <c r="C179" i="2"/>
  <c r="E179" i="2" s="1"/>
  <c r="E180" i="2" s="1"/>
  <c r="H148" i="2"/>
  <c r="J155" i="2" s="1"/>
  <c r="L201" i="2"/>
  <c r="R223" i="3"/>
  <c r="S188" i="3"/>
  <c r="I179" i="3"/>
  <c r="C206" i="3"/>
  <c r="L222" i="3"/>
  <c r="H222" i="3"/>
  <c r="E212" i="3"/>
  <c r="AG82" i="3"/>
  <c r="D222" i="3"/>
  <c r="I193" i="3"/>
  <c r="E136" i="3"/>
  <c r="I178" i="3"/>
  <c r="R208" i="3"/>
  <c r="T208" i="3" s="1"/>
  <c r="L194" i="4"/>
  <c r="L195" i="4" s="1"/>
  <c r="N230" i="4"/>
  <c r="D201" i="4"/>
  <c r="D200" i="4"/>
  <c r="F226" i="4"/>
  <c r="J182" i="4"/>
  <c r="J200" i="4"/>
  <c r="H182" i="4"/>
  <c r="F182" i="4"/>
  <c r="H179" i="4"/>
  <c r="H178" i="4"/>
  <c r="F183" i="4"/>
  <c r="H177" i="4"/>
  <c r="E183" i="4"/>
  <c r="C183" i="4"/>
  <c r="AG84" i="4"/>
  <c r="D183" i="4"/>
  <c r="F232" i="4"/>
  <c r="F233" i="4" s="1"/>
  <c r="F234" i="4" s="1"/>
  <c r="J232" i="4"/>
  <c r="J233" i="4" s="1"/>
  <c r="J234" i="4" s="1"/>
  <c r="F230" i="4"/>
  <c r="T210" i="4"/>
  <c r="B201" i="4"/>
  <c r="B200" i="4"/>
  <c r="E203" i="4"/>
  <c r="E202" i="4"/>
  <c r="E204" i="4" s="1"/>
  <c r="F204" i="4" s="1"/>
  <c r="F200" i="4"/>
  <c r="F201" i="4"/>
  <c r="G183" i="4"/>
  <c r="H189" i="2"/>
  <c r="F169" i="2"/>
  <c r="R176" i="2"/>
  <c r="AB82" i="2"/>
  <c r="L200" i="2"/>
  <c r="R190" i="2"/>
  <c r="H196" i="2"/>
  <c r="C181" i="2"/>
  <c r="D197" i="2"/>
  <c r="Q136" i="2"/>
  <c r="F170" i="2"/>
  <c r="N164" i="2"/>
  <c r="L217" i="4"/>
  <c r="L218" i="4"/>
  <c r="O218" i="4"/>
  <c r="F216" i="4"/>
  <c r="E219" i="4"/>
  <c r="E220" i="4" s="1"/>
  <c r="E221" i="4" s="1"/>
  <c r="M216" i="4"/>
  <c r="N216" i="4" s="1"/>
  <c r="O216" i="4" s="1"/>
  <c r="E182" i="4"/>
  <c r="L197" i="2"/>
  <c r="G179" i="2"/>
  <c r="H204" i="2"/>
  <c r="L164" i="2"/>
  <c r="D204" i="2"/>
  <c r="H190" i="2"/>
  <c r="AC82" i="2"/>
  <c r="H170" i="2"/>
  <c r="M140" i="2"/>
  <c r="R177" i="2"/>
  <c r="R197" i="2"/>
  <c r="T197" i="2" s="1"/>
  <c r="H169" i="2"/>
  <c r="F217" i="4"/>
  <c r="M217" i="4"/>
  <c r="N217" i="4" s="1"/>
  <c r="O217" i="4" s="1"/>
  <c r="T212" i="4"/>
  <c r="T213" i="4" s="1"/>
  <c r="T214" i="4" s="1"/>
  <c r="B183" i="4"/>
  <c r="I183" i="4"/>
  <c r="E126" i="2"/>
  <c r="D202" i="2"/>
  <c r="Q164" i="2"/>
  <c r="R181" i="2"/>
  <c r="G169" i="2"/>
  <c r="H197" i="2"/>
  <c r="AF82" i="2"/>
  <c r="R191" i="2"/>
  <c r="K190" i="2"/>
  <c r="L190" i="2" s="1"/>
  <c r="L206" i="2"/>
  <c r="G182" i="2"/>
  <c r="D170" i="2"/>
  <c r="R193" i="2"/>
  <c r="AA82" i="2"/>
  <c r="Q126" i="2"/>
  <c r="D169" i="2"/>
  <c r="P164" i="2"/>
  <c r="H201" i="2"/>
  <c r="L205" i="2"/>
  <c r="R175" i="2"/>
  <c r="C154" i="2"/>
  <c r="H188" i="2"/>
  <c r="D200" i="2"/>
  <c r="F200" i="2" s="1"/>
  <c r="C180" i="2"/>
  <c r="H205" i="2"/>
  <c r="R179" i="2"/>
  <c r="K188" i="2"/>
  <c r="D205" i="2"/>
  <c r="C169" i="2"/>
  <c r="G180" i="2"/>
  <c r="R194" i="2"/>
  <c r="L202" i="2"/>
  <c r="M164" i="2"/>
  <c r="I140" i="2"/>
  <c r="AD82" i="2"/>
  <c r="H221" i="4"/>
  <c r="I210" i="4"/>
  <c r="T225" i="4"/>
  <c r="T226" i="4" s="1"/>
  <c r="T227" i="4" s="1"/>
  <c r="T188" i="3"/>
  <c r="T191" i="3" s="1"/>
  <c r="J179" i="3"/>
  <c r="J196" i="3"/>
  <c r="K130" i="3"/>
  <c r="AH82" i="3"/>
  <c r="L228" i="3"/>
  <c r="R219" i="3"/>
  <c r="H230" i="3"/>
  <c r="R209" i="3"/>
  <c r="E213" i="3"/>
  <c r="L204" i="3"/>
  <c r="J193" i="3"/>
  <c r="D230" i="3"/>
  <c r="I182" i="4"/>
  <c r="D182" i="4"/>
  <c r="B182" i="4"/>
  <c r="G204" i="3"/>
  <c r="H229" i="3"/>
  <c r="K212" i="3"/>
  <c r="D229" i="3"/>
  <c r="F179" i="3"/>
  <c r="C193" i="3"/>
  <c r="M188" i="3"/>
  <c r="R218" i="3"/>
  <c r="L226" i="3"/>
  <c r="AD82" i="3"/>
  <c r="F178" i="3"/>
  <c r="R204" i="3"/>
  <c r="T204" i="3" s="1"/>
  <c r="I164" i="3"/>
  <c r="H226" i="3"/>
  <c r="E154" i="3"/>
  <c r="R222" i="3"/>
  <c r="L220" i="3"/>
  <c r="E193" i="3"/>
  <c r="G179" i="3"/>
  <c r="O188" i="3"/>
  <c r="R205" i="3"/>
  <c r="D225" i="3"/>
  <c r="G205" i="3"/>
  <c r="K213" i="3"/>
  <c r="L213" i="3" s="1"/>
  <c r="G178" i="3"/>
  <c r="AE82" i="3"/>
  <c r="T195" i="4"/>
  <c r="N234" i="4"/>
  <c r="E207" i="4"/>
  <c r="E208" i="4" s="1"/>
  <c r="I217" i="4"/>
  <c r="I218" i="4"/>
  <c r="C182" i="4"/>
  <c r="H193" i="3"/>
  <c r="H214" i="3"/>
  <c r="I214" i="3" s="1"/>
  <c r="G203" i="3"/>
  <c r="E179" i="3"/>
  <c r="R202" i="3"/>
  <c r="L188" i="3"/>
  <c r="H228" i="3"/>
  <c r="J228" i="3" s="1"/>
  <c r="H194" i="3"/>
  <c r="D228" i="3"/>
  <c r="R221" i="3"/>
  <c r="T221" i="3" s="1"/>
  <c r="AC82" i="3"/>
  <c r="L221" i="3"/>
  <c r="M164" i="3"/>
  <c r="X98" i="2" l="1"/>
  <c r="Y98" i="2" s="1"/>
  <c r="Q218" i="2" s="1"/>
  <c r="P219" i="2"/>
  <c r="X93" i="4"/>
  <c r="Y93" i="4" s="1"/>
  <c r="Q236" i="4" s="1"/>
  <c r="P237" i="4"/>
  <c r="I188" i="2"/>
  <c r="H191" i="2"/>
  <c r="H192" i="2" s="1"/>
  <c r="H193" i="2" s="1"/>
  <c r="E203" i="3"/>
  <c r="E204" i="3" s="1"/>
  <c r="T198" i="2"/>
  <c r="T199" i="2" s="1"/>
  <c r="F201" i="2"/>
  <c r="F189" i="2"/>
  <c r="M189" i="2"/>
  <c r="N189" i="2" s="1"/>
  <c r="O189" i="2" s="1"/>
  <c r="I189" i="2"/>
  <c r="L206" i="3"/>
  <c r="L205" i="3"/>
  <c r="G155" i="2"/>
  <c r="M213" i="3"/>
  <c r="F213" i="3"/>
  <c r="E198" i="3"/>
  <c r="B197" i="3"/>
  <c r="B196" i="3"/>
  <c r="E199" i="3"/>
  <c r="T217" i="3"/>
  <c r="T214" i="3"/>
  <c r="T215" i="3" s="1"/>
  <c r="T175" i="2"/>
  <c r="T176" i="2" s="1"/>
  <c r="T177" i="2" s="1"/>
  <c r="L214" i="3"/>
  <c r="D155" i="2"/>
  <c r="M212" i="3"/>
  <c r="F212" i="3"/>
  <c r="E215" i="3"/>
  <c r="J154" i="2"/>
  <c r="G154" i="2"/>
  <c r="F224" i="3"/>
  <c r="F173" i="2"/>
  <c r="F172" i="2"/>
  <c r="AI82" i="3"/>
  <c r="J229" i="3" s="1"/>
  <c r="D197" i="3"/>
  <c r="D196" i="3"/>
  <c r="J201" i="2"/>
  <c r="F204" i="2"/>
  <c r="L212" i="3"/>
  <c r="K215" i="3"/>
  <c r="AI82" i="2"/>
  <c r="T184" i="2" s="1"/>
  <c r="T185" i="2" s="1"/>
  <c r="T167" i="2"/>
  <c r="I213" i="3"/>
  <c r="T200" i="3"/>
  <c r="X94" i="4"/>
  <c r="Y94" i="4" s="1"/>
  <c r="Q238" i="4" s="1"/>
  <c r="P239" i="4"/>
  <c r="F228" i="3"/>
  <c r="E155" i="2"/>
  <c r="I203" i="3"/>
  <c r="I204" i="3" s="1"/>
  <c r="T193" i="2"/>
  <c r="T194" i="2" s="1"/>
  <c r="T195" i="2" s="1"/>
  <c r="E154" i="2"/>
  <c r="J196" i="2"/>
  <c r="J197" i="2" s="1"/>
  <c r="J198" i="2" s="1"/>
  <c r="F197" i="3"/>
  <c r="F196" i="3"/>
  <c r="P229" i="3"/>
  <c r="X91" i="3"/>
  <c r="Y91" i="3" s="1"/>
  <c r="Q228" i="3" s="1"/>
  <c r="E191" i="2"/>
  <c r="E192" i="2" s="1"/>
  <c r="E193" i="2" s="1"/>
  <c r="H197" i="3"/>
  <c r="H196" i="3"/>
  <c r="I190" i="2"/>
  <c r="B154" i="2"/>
  <c r="N228" i="3"/>
  <c r="F155" i="2"/>
  <c r="H155" i="2"/>
  <c r="L188" i="2"/>
  <c r="K191" i="2"/>
  <c r="K192" i="2" s="1"/>
  <c r="K193" i="2" s="1"/>
  <c r="N220" i="3"/>
  <c r="P243" i="3"/>
  <c r="X98" i="3"/>
  <c r="Y98" i="3" s="1"/>
  <c r="Q242" i="3" s="1"/>
  <c r="T179" i="2"/>
  <c r="T180" i="2" s="1"/>
  <c r="D173" i="2"/>
  <c r="D172" i="2"/>
  <c r="P231" i="4"/>
  <c r="X90" i="4"/>
  <c r="Y90" i="4" s="1"/>
  <c r="Q230" i="4" s="1"/>
  <c r="I179" i="2"/>
  <c r="I180" i="2" s="1"/>
  <c r="L181" i="2" s="1"/>
  <c r="D154" i="2"/>
  <c r="P241" i="3"/>
  <c r="X97" i="3"/>
  <c r="Y97" i="3" s="1"/>
  <c r="Q240" i="3" s="1"/>
  <c r="AG84" i="3"/>
  <c r="N190" i="3" s="1"/>
  <c r="N191" i="3" s="1"/>
  <c r="H175" i="3"/>
  <c r="H174" i="3"/>
  <c r="H173" i="3"/>
  <c r="L189" i="2"/>
  <c r="B155" i="2"/>
  <c r="T189" i="2"/>
  <c r="T190" i="2" s="1"/>
  <c r="T191" i="2" s="1"/>
  <c r="P235" i="3"/>
  <c r="X94" i="3"/>
  <c r="Y94" i="3" s="1"/>
  <c r="Q234" i="3" s="1"/>
  <c r="M190" i="2"/>
  <c r="N190" i="2" s="1"/>
  <c r="F190" i="2"/>
  <c r="N224" i="3"/>
  <c r="I212" i="3"/>
  <c r="H215" i="3"/>
  <c r="AG84" i="2"/>
  <c r="P166" i="2" s="1"/>
  <c r="P167" i="2" s="1"/>
  <c r="H151" i="2"/>
  <c r="H150" i="2"/>
  <c r="H149" i="2"/>
  <c r="I155" i="2"/>
  <c r="I154" i="2"/>
  <c r="X95" i="4"/>
  <c r="Y95" i="4" s="1"/>
  <c r="Q240" i="4" s="1"/>
  <c r="P241" i="4"/>
  <c r="J172" i="2"/>
  <c r="B179" i="3"/>
  <c r="H179" i="3"/>
  <c r="N197" i="2"/>
  <c r="N198" i="2" s="1"/>
  <c r="F214" i="3"/>
  <c r="M214" i="3"/>
  <c r="N214" i="3" s="1"/>
  <c r="P237" i="3"/>
  <c r="X95" i="3"/>
  <c r="Y95" i="3" s="1"/>
  <c r="Q236" i="3" s="1"/>
  <c r="J204" i="2"/>
  <c r="J205" i="2" s="1"/>
  <c r="J206" i="2" s="1"/>
  <c r="N200" i="2"/>
  <c r="N194" i="4"/>
  <c r="N195" i="4" s="1"/>
  <c r="P194" i="4"/>
  <c r="P195" i="4" s="1"/>
  <c r="F188" i="2"/>
  <c r="R194" i="4"/>
  <c r="R195" i="4" s="1"/>
  <c r="N204" i="2"/>
  <c r="N205" i="2" s="1"/>
  <c r="H173" i="2"/>
  <c r="H172" i="2"/>
  <c r="F197" i="2"/>
  <c r="X93" i="3"/>
  <c r="Y93" i="3" s="1"/>
  <c r="Q232" i="3" s="1"/>
  <c r="P233" i="3"/>
  <c r="P245" i="4"/>
  <c r="X97" i="4"/>
  <c r="Y97" i="4" s="1"/>
  <c r="Q244" i="4" s="1"/>
  <c r="F154" i="2"/>
  <c r="H154" i="2"/>
  <c r="P235" i="4"/>
  <c r="X92" i="4"/>
  <c r="Y92" i="4" s="1"/>
  <c r="Q234" i="4" s="1"/>
  <c r="C155" i="2"/>
  <c r="E178" i="3"/>
  <c r="E210" i="4"/>
  <c r="L209" i="4"/>
  <c r="E209" i="4"/>
  <c r="L210" i="4"/>
  <c r="J178" i="3"/>
  <c r="I209" i="4"/>
  <c r="P233" i="4"/>
  <c r="X91" i="4"/>
  <c r="Y91" i="4" s="1"/>
  <c r="Q232" i="4" s="1"/>
  <c r="M188" i="2"/>
  <c r="N188" i="2" s="1"/>
  <c r="O188" i="2" s="1"/>
  <c r="B173" i="2"/>
  <c r="E174" i="2"/>
  <c r="E175" i="2"/>
  <c r="B172" i="2"/>
  <c r="F220" i="3"/>
  <c r="D179" i="3"/>
  <c r="L166" i="2" l="1"/>
  <c r="L167" i="2" s="1"/>
  <c r="J221" i="3"/>
  <c r="J222" i="3" s="1"/>
  <c r="N229" i="3"/>
  <c r="N230" i="3" s="1"/>
  <c r="R190" i="3"/>
  <c r="R191" i="3" s="1"/>
  <c r="T201" i="3"/>
  <c r="T202" i="3" s="1"/>
  <c r="E206" i="3"/>
  <c r="E205" i="3"/>
  <c r="F229" i="3"/>
  <c r="F230" i="3" s="1"/>
  <c r="O190" i="2"/>
  <c r="E181" i="2"/>
  <c r="J225" i="3"/>
  <c r="J226" i="3" s="1"/>
  <c r="I206" i="3"/>
  <c r="I205" i="3"/>
  <c r="L190" i="3"/>
  <c r="L191" i="3" s="1"/>
  <c r="E182" i="2"/>
  <c r="E200" i="3"/>
  <c r="F200" i="3" s="1"/>
  <c r="E176" i="2"/>
  <c r="F176" i="2" s="1"/>
  <c r="P215" i="2"/>
  <c r="X96" i="2"/>
  <c r="Y96" i="2" s="1"/>
  <c r="Q214" i="2" s="1"/>
  <c r="X94" i="2"/>
  <c r="Y94" i="2" s="1"/>
  <c r="Q210" i="2" s="1"/>
  <c r="P211" i="2"/>
  <c r="T205" i="3"/>
  <c r="T206" i="3" s="1"/>
  <c r="R166" i="2"/>
  <c r="R167" i="2" s="1"/>
  <c r="N166" i="2"/>
  <c r="N167" i="2" s="1"/>
  <c r="E216" i="3"/>
  <c r="E217" i="3" s="1"/>
  <c r="P209" i="2"/>
  <c r="X93" i="2"/>
  <c r="Y93" i="2" s="1"/>
  <c r="Q208" i="2" s="1"/>
  <c r="P190" i="3"/>
  <c r="P191" i="3" s="1"/>
  <c r="T181" i="2"/>
  <c r="K216" i="3"/>
  <c r="N213" i="3"/>
  <c r="N225" i="3"/>
  <c r="N226" i="3" s="1"/>
  <c r="P239" i="3"/>
  <c r="X96" i="3"/>
  <c r="Y96" i="3" s="1"/>
  <c r="Q238" i="3" s="1"/>
  <c r="P227" i="3"/>
  <c r="X90" i="3"/>
  <c r="Y90" i="3" s="1"/>
  <c r="Q226" i="3" s="1"/>
  <c r="P203" i="2"/>
  <c r="X90" i="2"/>
  <c r="Y90" i="2" s="1"/>
  <c r="Q202" i="2" s="1"/>
  <c r="N212" i="3"/>
  <c r="O212" i="3" s="1"/>
  <c r="L182" i="2"/>
  <c r="T218" i="3"/>
  <c r="T219" i="3" s="1"/>
  <c r="T209" i="3"/>
  <c r="T210" i="3" s="1"/>
  <c r="T222" i="3"/>
  <c r="T223" i="3" s="1"/>
  <c r="F205" i="2"/>
  <c r="F206" i="2" s="1"/>
  <c r="X92" i="2"/>
  <c r="Y92" i="2" s="1"/>
  <c r="Q206" i="2" s="1"/>
  <c r="P207" i="2"/>
  <c r="J202" i="2"/>
  <c r="H216" i="3"/>
  <c r="I181" i="2"/>
  <c r="I182" i="2"/>
  <c r="F225" i="3"/>
  <c r="N206" i="2"/>
  <c r="P231" i="3"/>
  <c r="X92" i="3"/>
  <c r="Y92" i="3" s="1"/>
  <c r="Q230" i="3" s="1"/>
  <c r="X91" i="2"/>
  <c r="Y91" i="2" s="1"/>
  <c r="Q204" i="2" s="1"/>
  <c r="P205" i="2"/>
  <c r="F221" i="3"/>
  <c r="F222" i="3" s="1"/>
  <c r="N201" i="2"/>
  <c r="N202" i="2" s="1"/>
  <c r="X97" i="2"/>
  <c r="Y97" i="2" s="1"/>
  <c r="Q216" i="2" s="1"/>
  <c r="P217" i="2"/>
  <c r="N221" i="3"/>
  <c r="N222" i="3" s="1"/>
  <c r="P213" i="2"/>
  <c r="X95" i="2"/>
  <c r="Y95" i="2" s="1"/>
  <c r="Q212" i="2" s="1"/>
  <c r="O213" i="3" l="1"/>
  <c r="F202" i="2"/>
  <c r="H217" i="3"/>
  <c r="K217" i="3"/>
  <c r="F198" i="2"/>
  <c r="O214" i="3"/>
  <c r="F226" i="3"/>
  <c r="J230" i="3"/>
</calcChain>
</file>

<file path=xl/sharedStrings.xml><?xml version="1.0" encoding="utf-8"?>
<sst xmlns="http://schemas.openxmlformats.org/spreadsheetml/2006/main" count="1201" uniqueCount="554">
  <si>
    <r>
      <rPr>
        <sz val="18"/>
        <color rgb="FF17365D"/>
        <rFont val="Arial"/>
      </rPr>
      <t>ENEAGRAMA</t>
    </r>
    <r>
      <rPr>
        <sz val="18"/>
        <color rgb="FF000080"/>
        <rFont val="Arial"/>
      </rPr>
      <t xml:space="preserve">: </t>
    </r>
    <r>
      <rPr>
        <i/>
        <sz val="14"/>
        <color rgb="FF000080"/>
        <rFont val="Arial"/>
      </rPr>
      <t>Mapa de autoidentificación personal.</t>
    </r>
  </si>
  <si>
    <t>POR FAVOR COMPLETA LOS SIGUIENTES DATOS PERSONALES</t>
  </si>
  <si>
    <t>Fecha:</t>
  </si>
  <si>
    <r>
      <rPr>
        <sz val="10"/>
        <color theme="1"/>
        <rFont val="Arial"/>
      </rPr>
      <t>Por favor poner en números: día (</t>
    </r>
    <r>
      <rPr>
        <b/>
        <sz val="10"/>
        <color theme="1"/>
        <rFont val="Arial"/>
      </rPr>
      <t>dos cifras</t>
    </r>
    <r>
      <rPr>
        <sz val="10"/>
        <color theme="1"/>
        <rFont val="Arial"/>
      </rPr>
      <t>) / mes (</t>
    </r>
    <r>
      <rPr>
        <b/>
        <sz val="10"/>
        <color theme="1"/>
        <rFont val="Arial"/>
      </rPr>
      <t>dos cifras</t>
    </r>
    <r>
      <rPr>
        <sz val="10"/>
        <color theme="1"/>
        <rFont val="Arial"/>
      </rPr>
      <t>) / año (</t>
    </r>
    <r>
      <rPr>
        <b/>
        <sz val="10"/>
        <color theme="1"/>
        <rFont val="Arial"/>
      </rPr>
      <t>cuatro cifras</t>
    </r>
    <r>
      <rPr>
        <sz val="10"/>
        <color theme="1"/>
        <rFont val="Arial"/>
      </rPr>
      <t>)</t>
    </r>
  </si>
  <si>
    <t>Nombre:</t>
  </si>
  <si>
    <t xml:space="preserve">Fecha de Nacimiento: </t>
  </si>
  <si>
    <r>
      <rPr>
        <sz val="10"/>
        <color theme="1"/>
        <rFont val="Arial"/>
      </rPr>
      <t>Por favor poner en números: día (</t>
    </r>
    <r>
      <rPr>
        <b/>
        <sz val="10"/>
        <color theme="1"/>
        <rFont val="Arial"/>
      </rPr>
      <t>dos cifras</t>
    </r>
    <r>
      <rPr>
        <sz val="10"/>
        <color theme="1"/>
        <rFont val="Arial"/>
      </rPr>
      <t>) / mes (</t>
    </r>
    <r>
      <rPr>
        <b/>
        <sz val="10"/>
        <color theme="1"/>
        <rFont val="Arial"/>
      </rPr>
      <t>dos cifras</t>
    </r>
    <r>
      <rPr>
        <sz val="10"/>
        <color theme="1"/>
        <rFont val="Arial"/>
      </rPr>
      <t>) / año (</t>
    </r>
    <r>
      <rPr>
        <b/>
        <sz val="10"/>
        <color theme="1"/>
        <rFont val="Arial"/>
      </rPr>
      <t>cuatro cifras</t>
    </r>
    <r>
      <rPr>
        <sz val="10"/>
        <color theme="1"/>
        <rFont val="Arial"/>
      </rPr>
      <t>)</t>
    </r>
  </si>
  <si>
    <t>Edad:</t>
  </si>
  <si>
    <t>Años</t>
  </si>
  <si>
    <t>Sexo:</t>
  </si>
  <si>
    <r>
      <rPr>
        <sz val="10"/>
        <color theme="1"/>
        <rFont val="Arial"/>
      </rPr>
      <t>Por favor escribir según corresponda:</t>
    </r>
    <r>
      <rPr>
        <b/>
        <sz val="10"/>
        <color theme="1"/>
        <rFont val="Arial"/>
      </rPr>
      <t xml:space="preserve"> FEMENINO </t>
    </r>
    <r>
      <rPr>
        <sz val="10"/>
        <color theme="1"/>
        <rFont val="Arial"/>
      </rPr>
      <t xml:space="preserve">/ </t>
    </r>
    <r>
      <rPr>
        <b/>
        <sz val="10"/>
        <color theme="1"/>
        <rFont val="Arial"/>
      </rPr>
      <t>MASCULINO</t>
    </r>
  </si>
  <si>
    <t>Estado Civil:</t>
  </si>
  <si>
    <r>
      <rPr>
        <sz val="10"/>
        <color theme="1"/>
        <rFont val="Arial"/>
      </rPr>
      <t>Por favor escribir según corresponda:</t>
    </r>
    <r>
      <rPr>
        <b/>
        <sz val="10"/>
        <color theme="1"/>
        <rFont val="Arial"/>
      </rPr>
      <t xml:space="preserve"> SOLTERO</t>
    </r>
    <r>
      <rPr>
        <sz val="10"/>
        <color theme="1"/>
        <rFont val="Arial"/>
      </rPr>
      <t xml:space="preserve"> /</t>
    </r>
    <r>
      <rPr>
        <b/>
        <sz val="10"/>
        <color theme="1"/>
        <rFont val="Arial"/>
      </rPr>
      <t xml:space="preserve"> CASADO</t>
    </r>
    <r>
      <rPr>
        <sz val="10"/>
        <color theme="1"/>
        <rFont val="Arial"/>
      </rPr>
      <t xml:space="preserve"> / </t>
    </r>
    <r>
      <rPr>
        <b/>
        <sz val="10"/>
        <color theme="1"/>
        <rFont val="Arial"/>
      </rPr>
      <t>EN PAREJA</t>
    </r>
    <r>
      <rPr>
        <sz val="10"/>
        <color theme="1"/>
        <rFont val="Arial"/>
      </rPr>
      <t xml:space="preserve"> / </t>
    </r>
    <r>
      <rPr>
        <b/>
        <sz val="10"/>
        <color theme="1"/>
        <rFont val="Arial"/>
      </rPr>
      <t>DE NOVIO</t>
    </r>
    <r>
      <rPr>
        <sz val="10"/>
        <color theme="1"/>
        <rFont val="Arial"/>
      </rPr>
      <t xml:space="preserve"> / </t>
    </r>
    <r>
      <rPr>
        <b/>
        <sz val="10"/>
        <color theme="1"/>
        <rFont val="Arial"/>
      </rPr>
      <t>VIUDO / DIVORCIADO</t>
    </r>
  </si>
  <si>
    <t>Ocupación o Profesión:</t>
  </si>
  <si>
    <t>Signo del zodíaco</t>
  </si>
  <si>
    <t>Aries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</si>
  <si>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ARIES </t>
    </r>
    <r>
      <rPr>
        <sz val="10"/>
        <color theme="1"/>
        <rFont val="Arial"/>
      </rPr>
      <t>(21/03 al 20/04)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, coloca un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en el casillero blanco de la izquierda</t>
    </r>
  </si>
  <si>
    <t>Leo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</si>
  <si>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LEO </t>
    </r>
    <r>
      <rPr>
        <sz val="10"/>
        <color theme="1"/>
        <rFont val="Arial"/>
      </rPr>
      <t xml:space="preserve">(24/07 al 23/08), coloca un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en el casillero blanco de la izquierda</t>
    </r>
  </si>
  <si>
    <t>Sagitario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</si>
  <si>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SAGITARIO </t>
    </r>
    <r>
      <rPr>
        <sz val="10"/>
        <color theme="1"/>
        <rFont val="Arial"/>
      </rPr>
      <t xml:space="preserve">(23/11 al 21/12), coloca un </t>
    </r>
    <r>
      <rPr>
        <b/>
        <sz val="10"/>
        <color theme="1"/>
        <rFont val="Arial"/>
      </rPr>
      <t xml:space="preserve">1 </t>
    </r>
    <r>
      <rPr>
        <sz val="10"/>
        <color theme="1"/>
        <rFont val="Arial"/>
      </rPr>
      <t>en el casillero blanco de la izquierda</t>
    </r>
  </si>
  <si>
    <t>Tauro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</si>
  <si>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TAURO </t>
    </r>
    <r>
      <rPr>
        <sz val="10"/>
        <color theme="1"/>
        <rFont val="Arial"/>
      </rPr>
      <t xml:space="preserve">(21/04 al 20/05), coloca un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en el casillero blanco de la izquierda</t>
    </r>
  </si>
  <si>
    <t>Virgo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</si>
  <si>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VIRGO </t>
    </r>
    <r>
      <rPr>
        <sz val="10"/>
        <color theme="1"/>
        <rFont val="Arial"/>
      </rPr>
      <t xml:space="preserve">(24/08 al 23/09), coloca un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en el casillero blanco de la izquierda</t>
    </r>
  </si>
  <si>
    <t>Capricornio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</si>
  <si>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>CAPRICORNIO</t>
    </r>
    <r>
      <rPr>
        <sz val="10"/>
        <color theme="1"/>
        <rFont val="Arial"/>
      </rPr>
      <t xml:space="preserve"> (22/12 al 20/01), coloca un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en el casillero blanco de la izquierda</t>
    </r>
  </si>
  <si>
    <t>Géminis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</si>
  <si>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GEMINIS </t>
    </r>
    <r>
      <rPr>
        <sz val="10"/>
        <color theme="1"/>
        <rFont val="Arial"/>
      </rPr>
      <t xml:space="preserve">(21/05 al 21/06), coloca un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en el casillero blanco de la izquierda</t>
    </r>
  </si>
  <si>
    <t>Libra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</si>
  <si>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LIBRA </t>
    </r>
    <r>
      <rPr>
        <sz val="10"/>
        <color theme="1"/>
        <rFont val="Arial"/>
      </rPr>
      <t>(24/09 al 22/10), coloca un</t>
    </r>
    <r>
      <rPr>
        <b/>
        <sz val="10"/>
        <color theme="1"/>
        <rFont val="Arial"/>
      </rPr>
      <t xml:space="preserve"> 1</t>
    </r>
    <r>
      <rPr>
        <sz val="10"/>
        <color theme="1"/>
        <rFont val="Arial"/>
      </rPr>
      <t xml:space="preserve"> en el casillero blanco de la izquierda</t>
    </r>
  </si>
  <si>
    <t>Acuario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</si>
  <si>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ACUARIO </t>
    </r>
    <r>
      <rPr>
        <sz val="10"/>
        <color theme="1"/>
        <rFont val="Arial"/>
      </rPr>
      <t xml:space="preserve">(21/01 al 19/02), coloca un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en el casillero blanco de la izquierda</t>
    </r>
  </si>
  <si>
    <t>Cáncer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</si>
  <si>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CÁNCER </t>
    </r>
    <r>
      <rPr>
        <sz val="10"/>
        <color theme="1"/>
        <rFont val="Arial"/>
      </rPr>
      <t xml:space="preserve">(22/06 al 23/07), coloca un </t>
    </r>
    <r>
      <rPr>
        <b/>
        <sz val="10"/>
        <color theme="1"/>
        <rFont val="Arial"/>
      </rPr>
      <t xml:space="preserve">1 </t>
    </r>
    <r>
      <rPr>
        <sz val="10"/>
        <color theme="1"/>
        <rFont val="Arial"/>
      </rPr>
      <t>en el casillero blanco de la izquierda</t>
    </r>
  </si>
  <si>
    <t>Escorpio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</si>
  <si>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ESCORPIO </t>
    </r>
    <r>
      <rPr>
        <sz val="10"/>
        <color theme="1"/>
        <rFont val="Arial"/>
      </rPr>
      <t xml:space="preserve">(23/10 al 22/11), coloca un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en el casillero blanco de la izquierda</t>
    </r>
  </si>
  <si>
    <t>Piscis</t>
  </si>
  <si>
    <r>
      <rPr>
        <sz val="10"/>
        <color theme="1"/>
        <rFont val="Arial"/>
      </rPr>
      <t xml:space="preserve">Si tu signo del zodíaco es </t>
    </r>
    <r>
      <rPr>
        <b/>
        <sz val="10"/>
        <color theme="1"/>
        <rFont val="Arial"/>
      </rPr>
      <t xml:space="preserve">PISCIS </t>
    </r>
    <r>
      <rPr>
        <sz val="10"/>
        <color theme="1"/>
        <rFont val="Arial"/>
      </rPr>
      <t xml:space="preserve">( 20/02 al 20/03), coloca un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en el casillero blanco de la izquierda</t>
    </r>
  </si>
  <si>
    <t>MUY IMPORTANTE: Leer bien las consignas ANTES DE INICIAR EL TRABAJO:</t>
  </si>
  <si>
    <r>
      <rPr>
        <b/>
        <u/>
        <sz val="10"/>
        <color rgb="FFFF0000"/>
        <rFont val="Arial"/>
      </rPr>
      <t>CONSIGNA 1</t>
    </r>
    <r>
      <rPr>
        <b/>
        <sz val="10"/>
        <color rgb="FFFF0000"/>
        <rFont val="Arial"/>
      </rPr>
      <t>:</t>
    </r>
  </si>
  <si>
    <r>
      <rPr>
        <sz val="10"/>
        <color theme="1"/>
        <rFont val="Arial"/>
      </rPr>
      <t xml:space="preserve">A continuación encontrarás una serie de afirmaciones, si te identificas con la afirmación debes  </t>
    </r>
    <r>
      <rPr>
        <b/>
        <sz val="10"/>
        <color theme="1"/>
        <rFont val="Arial"/>
      </rPr>
      <t xml:space="preserve">escribir el N° "1" </t>
    </r>
    <r>
      <rPr>
        <sz val="10"/>
        <color theme="1"/>
        <rFont val="Arial"/>
      </rPr>
      <t>en el recuadro en blanco a la</t>
    </r>
  </si>
  <si>
    <r>
      <rPr>
        <sz val="10"/>
        <color theme="1"/>
        <rFont val="Arial"/>
      </rPr>
      <t xml:space="preserve">izquierda de la misma; si no te identificas con la afirmación debes </t>
    </r>
    <r>
      <rPr>
        <b/>
        <sz val="10"/>
        <color theme="1"/>
        <rFont val="Arial"/>
      </rPr>
      <t>dejar el recuadro en blanco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</si>
  <si>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Es muy importante que respondas este cuestionario pensando en </t>
    </r>
    <r>
      <rPr>
        <b/>
        <sz val="10"/>
        <color theme="1"/>
        <rFont val="Arial"/>
      </rPr>
      <t>cómo realmente eres o sientes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no cómo te gustaría sentir o ser.</t>
    </r>
  </si>
  <si>
    <r>
      <rPr>
        <sz val="10"/>
        <color theme="1"/>
        <rFont val="Arial"/>
      </rPr>
      <t xml:space="preserve">Debes </t>
    </r>
    <r>
      <rPr>
        <b/>
        <sz val="10"/>
        <color theme="1"/>
        <rFont val="Arial"/>
      </rPr>
      <t>completarlo de una sola vez,</t>
    </r>
    <r>
      <rPr>
        <sz val="10"/>
        <color theme="1"/>
        <rFont val="Arial"/>
      </rPr>
      <t xml:space="preserve"> sin detenerte mucho en cada afirmación y sin revisar las respuestas, es decir, tratando de responder en </t>
    </r>
  </si>
  <si>
    <r>
      <rPr>
        <b/>
        <sz val="10"/>
        <color theme="1"/>
        <rFont val="Arial"/>
      </rPr>
      <t>forma espontánea</t>
    </r>
    <r>
      <rPr>
        <sz val="10"/>
        <color theme="1"/>
        <rFont val="Arial"/>
      </rPr>
      <t>. Si dudas, puedes responder en base a cómo hubieras respondido tiempo atrás, por ejemplo cuando eras adolescente;</t>
    </r>
  </si>
  <si>
    <t>si continua la duda, déjalo en blanco.</t>
  </si>
  <si>
    <t>Protejo a quienes se encuentran bajo mi autoridad.</t>
  </si>
  <si>
    <t>Me cuesta convencerme de que aquello que compré fue una buena decisión.</t>
  </si>
  <si>
    <t>No hay nada tan urgente que no pueda esperar hasta mañana.</t>
  </si>
  <si>
    <t>Siento que soy una persona apreciada por los demás a través de mis logros.</t>
  </si>
  <si>
    <t>Me duele mucho cuando mis amistades se reúnen y no me participan.</t>
  </si>
  <si>
    <t>El dinero es secundario, sólo sirve para atender las necesidades.</t>
  </si>
  <si>
    <t>Suelen acusarme de ser una persona indisciplinada, dispersa, inquieta, superficial.</t>
  </si>
  <si>
    <t>Me considero una persona sensible, auténtica, especial y profunda.</t>
  </si>
  <si>
    <t>A menudo un defecto final arruina el conjunto.</t>
  </si>
  <si>
    <t>Puedo arbitrar desapasionadamente, porque para mí las dos partes son iguales.</t>
  </si>
  <si>
    <t>Es frecuente que otras personas carezcan de capacidad para comprender mis sentimientos.</t>
  </si>
  <si>
    <t>Me gusta la buena compañía, el afecto, la independencia y las conversaciones estimulantes y graciosas.</t>
  </si>
  <si>
    <t>Soy una persona libre, nada me detiene.</t>
  </si>
  <si>
    <t>Me gusta demostrar que puedo hacer lo que me propongo, aunque me consuma todo el tiempo.</t>
  </si>
  <si>
    <t>Con frecuencia me enfado porque ni yo ni los demás hacemos mejor las cosas.</t>
  </si>
  <si>
    <t>Con frecuencia las dudas me invaden.</t>
  </si>
  <si>
    <t>El dinero y las cosas materiales son importantes, me encanta compartirlas.</t>
  </si>
  <si>
    <t>A menudo me siento atrás para observar a los demás, en lugar de involucrarme en la acción.</t>
  </si>
  <si>
    <t>Puedo luchar con convicción por lo que entiendo que es justo.</t>
  </si>
  <si>
    <t xml:space="preserve"> </t>
  </si>
  <si>
    <t>Cuando me enojo, pienso que las personas son ignorantes, poco profundas, etc.</t>
  </si>
  <si>
    <t>No puedo negar mi atención a alguien sin tener una buena excusa.</t>
  </si>
  <si>
    <t>Si los demás fueran tan sensibles como yo, el mundo sería más humano.</t>
  </si>
  <si>
    <t>Me cuesta mucho contar historias sin exagerar un poquito o ponerle algún toque gracioso para captar la atención.</t>
  </si>
  <si>
    <t>Con frecuencia mis propias críticas y las de otros pululan en mi cabeza.</t>
  </si>
  <si>
    <t>Tengo más propensión a resignarme que a luchar.</t>
  </si>
  <si>
    <t>Cuando he temido que las necesidades y demandas de los demás me superasen, he evitado la intimidad.</t>
  </si>
  <si>
    <t>El dinero es seguridad, es necesario ahorrar.</t>
  </si>
  <si>
    <t>Me gusta que me digan que mi ayuda fue muy importante.</t>
  </si>
  <si>
    <t>La vida es una oportunidad para alcanzar aquello que me propongo, aspiro a hacer mejor.</t>
  </si>
  <si>
    <t>Me gusta liderar, defender, luchar y proteger.</t>
  </si>
  <si>
    <t>Me gusta sintetizar y reunir ideas diferentes.</t>
  </si>
  <si>
    <t>Me cuesta relajarme y estar alegre.</t>
  </si>
  <si>
    <t>Frecuentemente me encuentro evaluando a los demás como posibles amenazas para mí.</t>
  </si>
  <si>
    <t>Tiendo a no juzgar a las personas.</t>
  </si>
  <si>
    <t>La mayoría de la gente no aprecia la auténtica belleza de la vida.</t>
  </si>
  <si>
    <t>El dinero es para darse gustos y disfrutar.</t>
  </si>
  <si>
    <t>Me gusta crear cosas nuevas y obtener reconocimiento por mi originalidad, aunque tenga que superarme permanentemente.</t>
  </si>
  <si>
    <t>Generalmente, y hasta tener todo pensado, me lleva bastante tiempo empezar o hacer algo.</t>
  </si>
  <si>
    <t>Me enojo cuando los demás no escuchan lo que tengo para decirles.</t>
  </si>
  <si>
    <t>Suelen acusarme de ser una persona posesiva, manipuladora.</t>
  </si>
  <si>
    <t>Me considero una persona fuerte, justa, independiente y enérgica.</t>
  </si>
  <si>
    <t>Cuando me presentan a alguien, soy una persona entretenida y afectuosa.</t>
  </si>
  <si>
    <t>Tiendo a quitar importancia a las cosas para que los demás se tranquilicen.</t>
  </si>
  <si>
    <t>En general, prefiero estar dentro del desarrollo de una operación que observar como marcha.</t>
  </si>
  <si>
    <t>Actúo con sentido del deber y responsabilidad.</t>
  </si>
  <si>
    <t>Se puede decir que soy una persona afectuosa, perceptiva, generosa, empática, atenta.</t>
  </si>
  <si>
    <t>Me fastidian las personas que no son lógicas.</t>
  </si>
  <si>
    <t>Puedo conciliar para que reine la armonía.</t>
  </si>
  <si>
    <t>Si los demás fueran más decididos y determinados, no malgastarían su tiempo y energía.</t>
  </si>
  <si>
    <t>Me molesta el fracaso, eso es para los débiles.</t>
  </si>
  <si>
    <t>La mayoría de la gente no tiene sentimientos profundos como los míos.</t>
  </si>
  <si>
    <t>Soy una persona permisiva conmigo misma, hay pocas cosas que no disfrute.</t>
  </si>
  <si>
    <t>Me esfuerzo mucho por corregir mis faltas.</t>
  </si>
  <si>
    <t>Ante la inseguridad reacciono volviéndome una persona terca y poniéndome a la defensiva.</t>
  </si>
  <si>
    <t xml:space="preserve">Me gusta que las personas me compartan lo que sienten. </t>
  </si>
  <si>
    <t>La gente suele pensar que soy el alma de las reuniones.</t>
  </si>
  <si>
    <t>Las primeras impresiones son muy importantes, por eso me gusta proyectar una imagen triunfadora.</t>
  </si>
  <si>
    <t>Me gusta ver las cosas en perspectiva, retroceder e incluirlo todo. Si dejo algo fuera, me acuso por ser tan simplista.</t>
  </si>
  <si>
    <t>La vida es una sucesión de emociones profundas, aspiro a vivir mejor.</t>
  </si>
  <si>
    <t>Es muy importante para mi la lealtad al grupo.</t>
  </si>
  <si>
    <t>Necesito vivir intensamente, sentir la adrenalina.</t>
  </si>
  <si>
    <t>Hacer lo correcto me lleva a sacrificar el tiempo que tendría para el ocio y al descanso.</t>
  </si>
  <si>
    <t>Aspiro a estar mejor.</t>
  </si>
  <si>
    <t>Me gusta intimar, servir, entregar.</t>
  </si>
  <si>
    <t>Me acusan de ser una persona dramática, pero en realidad no me comprenden.</t>
  </si>
  <si>
    <t>Me es muy difícil ir en contra de lo dispuesto por la autoridad.</t>
  </si>
  <si>
    <t>Me he dado cuenta que, frecuentemente, me catalogan como demasiado racional.</t>
  </si>
  <si>
    <t>Me considero una persona simple, serena, equilibrada.</t>
  </si>
  <si>
    <t>En cualquier juego, aunque sea sólo por diversión, siempre me gusta ganar.</t>
  </si>
  <si>
    <t>Normalmente soy una persona demasiado intransigente y exigente con los demás.</t>
  </si>
  <si>
    <t>Las cosas siempre funcionan de la mejor manera posible.</t>
  </si>
  <si>
    <t>A veces soy una persona muy impulsiva, impongo mis verdades.</t>
  </si>
  <si>
    <t>Noto enseguida si algo no funciona, está mal, o está fuera de lugar.</t>
  </si>
  <si>
    <t>Me gusta tener objetivos claros y saber en qué punto del camino hacia ellos me encuentro.</t>
  </si>
  <si>
    <t>Me parece que siento el peligro y la amenaza más que otras personas.</t>
  </si>
  <si>
    <t>Si los demás fueran más apacibles y relajados viviríamos en un mundo más tranquilo.</t>
  </si>
  <si>
    <t>Me molesta lo rutinario y repetitivo, prefiero lo distinto y único.</t>
  </si>
  <si>
    <t>Me gusta animar a la gente.</t>
  </si>
  <si>
    <t>Siento orgullo de ser una persona objetiva y clara.</t>
  </si>
  <si>
    <t>Me gusta ser quien decide y defender a los que están conmigo, aunque tenga que enfrentar cualquier situación.</t>
  </si>
  <si>
    <t>Aunque a veces no quisiera comprometerme, me cuesta decir que no y poner límites a mi entrega.</t>
  </si>
  <si>
    <t>Necesito gran cantidad de espacio y de tiempos privados para estudiar y reflexionar.</t>
  </si>
  <si>
    <t>Me pregunto a menudo si tengo suficiente valor para hacer lo que hay que hacer.</t>
  </si>
  <si>
    <t>Necesito estar siempre en actividad, me hace sentir realmente con vida.</t>
  </si>
  <si>
    <t>Parece que me preocupo más que otros para que todo esté prolijo y ordenado.</t>
  </si>
  <si>
    <t>Mi vida es como una montaña rusa: a veces estoy en la cima y otras en un pozo, me cuesta equilibrar mis emociones.</t>
  </si>
  <si>
    <t>La vida es una oportunidad para brindarme a los otros, aspiro a dar mejor.</t>
  </si>
  <si>
    <t>Soy una persona tranquila y pacífica, estoy bien así.</t>
  </si>
  <si>
    <t>Me gusta casi todo lo que encuentro.</t>
  </si>
  <si>
    <t>La vida es una lucha constante, hay que enfrentarla con coraje.</t>
  </si>
  <si>
    <t>No sé como participar en conversaciones intrascendentes.</t>
  </si>
  <si>
    <t>Me gusta sentirme una persona juguetona, infantil, que se me vea alegre.</t>
  </si>
  <si>
    <t>Necesito tranquilidad, que nadie me apure, aunque mi calma pueda irritar a los demás.</t>
  </si>
  <si>
    <t>Para mí es más importante disfrutar de la seguridad que desarrollar mis propios intereses.</t>
  </si>
  <si>
    <t>Me molesta cuando no puedo imponerme, son situaciones que me desbordan.</t>
  </si>
  <si>
    <t>Me cuesta compartir mis sentimientos más profundos porque temo que desvaloricen mi imagen.</t>
  </si>
  <si>
    <t>Si algo no está bien, realmente me molesta.</t>
  </si>
  <si>
    <t>Me gusta dar para que me acepten, aunque tenga que postergar mis propias necesidades.</t>
  </si>
  <si>
    <t>Aun en la rutina diaria, me gusta poner mi impronta personal.</t>
  </si>
  <si>
    <t>Por naturaleza soy una persona reservada, introvertida, independiente.</t>
  </si>
  <si>
    <t>Me gustaría que los demás estuviesen mejor dispuestos respecto a todo.</t>
  </si>
  <si>
    <t>No creo que yo haga algo extraordinario, soy una persona común.</t>
  </si>
  <si>
    <t>Suelo juzgar a las personas por su capacidad de triunfar.</t>
  </si>
  <si>
    <t>Muchas veces siento que no hay nadie como yo, otras que los demás son mejores.</t>
  </si>
  <si>
    <t>A veces soy una persona demasiado generosa.</t>
  </si>
  <si>
    <t>Tiendo a cuidar los detalles, el orden y la precisión.</t>
  </si>
  <si>
    <t>Aun cuando me encuentre en desventaja, me enfrento sin miedo a la situación</t>
  </si>
  <si>
    <t>A veces soy complaciente, aunque piensen que no me juego por una posición.</t>
  </si>
  <si>
    <t>Necesito que se den cuenta de mis necesidades, así como yo estoy pendiente de los demás.</t>
  </si>
  <si>
    <t>Me han apreciado por mi inquebrantable espíritu y mi gran sentido del humor.</t>
  </si>
  <si>
    <t>Me molesta que me manden.</t>
  </si>
  <si>
    <t>Si surge un problema, primero lo estudio por mi cuenta y luego lo discuto con los demás.</t>
  </si>
  <si>
    <t>Me identifico tanto con mi trabajo o rol que hasta a veces me olvido de quién soy.</t>
  </si>
  <si>
    <t>Me gusta expresar lo que siento en el arte, la originalidad, lo diferente y que de esa manera me reconozcan.</t>
  </si>
  <si>
    <t>Sin leyes estrictas, es difícil decir lo que tienen que hacer las personas.</t>
  </si>
  <si>
    <t>Me gusta ordenar, organizar, planificar.</t>
  </si>
  <si>
    <t>La vida es simple, para qué complicarnos.</t>
  </si>
  <si>
    <t>Soy sumamente competente, mi vida es interesante.</t>
  </si>
  <si>
    <t>Me olvido fácilmente de lo que me produce dolor, no creo que sea bueno estar mucho tiempo triste.</t>
  </si>
  <si>
    <t xml:space="preserve">Si los demás se parecieran a mí, todo sería mejor. </t>
  </si>
  <si>
    <t>Tiendo a ser una persona solitaria, me cuesta expresar mis emociones.</t>
  </si>
  <si>
    <t>Si los demás pensaran más en el prójimo, el mundo sería más solidario.</t>
  </si>
  <si>
    <t>Me he inclinado a ser una persona muy emotiva y poco disciplinada.</t>
  </si>
  <si>
    <t>Yo manejo mis tiempos.</t>
  </si>
  <si>
    <t>Me molestan que me presionen, prefiero gozar de la tranquilidad y comodidad.</t>
  </si>
  <si>
    <t>Me gusta colaborar con los demás, ellos pueden fiarse de mí.</t>
  </si>
  <si>
    <t>Soy consciente de las contradicciones y muy sensible a ellas.</t>
  </si>
  <si>
    <t>Necesito que las cosas salgan como las había pensado, que se hagan bien.</t>
  </si>
  <si>
    <t>Puedo percibir fácilmente lo que la gente necesita.</t>
  </si>
  <si>
    <t>Suelen acusarme de ser una persona agresiva, egoísta, dominante, autoritaria.</t>
  </si>
  <si>
    <t>Otras personas me envidian por mi capacidad de hacer muchas cosas.</t>
  </si>
  <si>
    <t>Me resulta difícil aceptar compromisos a largo plazo.</t>
  </si>
  <si>
    <t>Trato de resolver mis problemas pensando.</t>
  </si>
  <si>
    <t>Muchas veces no tengo palabras suficientes para poder expresar lo que siento.</t>
  </si>
  <si>
    <t>Aunque me guste sostener la armonía, si veo que no puedo mediar en el conflicto me retiro de la escena.</t>
  </si>
  <si>
    <t>No entiendo a la gente que vive apurada, estresada.</t>
  </si>
  <si>
    <t>Me identifico con mi grupo y desconfío de los demás.</t>
  </si>
  <si>
    <t>Mi teoría es que si algo es bueno, más es mejor.</t>
  </si>
  <si>
    <t>Observo y analizo la realidad para entenderla.</t>
  </si>
  <si>
    <t>Me parece que el fin de una relación me afecta más que a la mayoría.</t>
  </si>
  <si>
    <t>El tiempo es oro, debe utilizarse de manera productiva.</t>
  </si>
  <si>
    <t>Trato de no meterme en la vida de los demás, pero si lo hago es por su bien.</t>
  </si>
  <si>
    <t>Me gustan que me sigan cuando asumo retos en situaciones críticas, o están conmigo o en mi contra.</t>
  </si>
  <si>
    <t>A veces soy muy moralista.</t>
  </si>
  <si>
    <t>Puedo cumplir fielmente, soy leal, obediente y responsable.</t>
  </si>
  <si>
    <t>Necesito mi tiempo para estar conmigo.</t>
  </si>
  <si>
    <t>Prefiero hablar suavemente, sin exaltarme ni levantar la voz.</t>
  </si>
  <si>
    <t>Si tengo que elegir entre algo nuevo y algo conocido, tiendo a escoger lo nuevo.</t>
  </si>
  <si>
    <t>No me importa sacrificarme por los demás, con tal de hacerlos felices.</t>
  </si>
  <si>
    <t>Me considero una persona inteligente, objetiva, racional, sabia y profunda.</t>
  </si>
  <si>
    <t>Soy visto por los demás como una persona que logra lo que se propone.</t>
  </si>
  <si>
    <t>Me gusta hacer las cosas, aunque tenga que sobre exigirme, porque nadie las hace tan bien como yo.</t>
  </si>
  <si>
    <t>Jamás podría dar un paso al costado pensando que alguien pueda dirigir un grupo mejor que yo.</t>
  </si>
  <si>
    <t>Se puede decir que soy una persona eficiente, enérgica, emprendedora, efectiva, exitosa.</t>
  </si>
  <si>
    <t>Me gusta acompañar, sostener, colaborar.</t>
  </si>
  <si>
    <t>Muchas veces me encuentro con sobrecargas por tener que atender la dependencia de otros respecto de mí.</t>
  </si>
  <si>
    <t>Si los demás fueran tan lógicos y objetivos como yo, la vida sería más interesante.</t>
  </si>
  <si>
    <t>Mi deseo de atender mis necesidades personales ha repercutido negativamente en mis relaciones.</t>
  </si>
  <si>
    <t>La vida es una oportunidad para mejorar cada día, aspiro a ser mejor.</t>
  </si>
  <si>
    <t>Suelo fijarme en el lado bueno de las cosas y dejar de lado el aspecto negativo de la vida.</t>
  </si>
  <si>
    <t>Me encanta disponer de tiempo libre para descansar.</t>
  </si>
  <si>
    <t>El dinero me permite reafirmar mi poder.</t>
  </si>
  <si>
    <t>Si los demás se comprometieran como yo, no ocurrirían tantas cosas desagradables.</t>
  </si>
  <si>
    <t>Necesito contar con información, entender de lo que se habla.</t>
  </si>
  <si>
    <t>Se puede decir que soy una persona paciente, diplomática, conciliadora.</t>
  </si>
  <si>
    <t>Suelo pasar de una cosa a otra, en vez de profundizar en una sola.</t>
  </si>
  <si>
    <t>Se puede decir que soy una persona cálida, introspectiva, intuitiva.</t>
  </si>
  <si>
    <t>Me molesta equivocarme, no me gustan que me vean cometiendo errores.</t>
  </si>
  <si>
    <t>Vivo con cierta tensión porque me propongo demasiados objetivos.</t>
  </si>
  <si>
    <t>Mi entrega a los demás muchas veces ha repercutido en mi propia salud o bienestar.</t>
  </si>
  <si>
    <t>Cuando se me pasa el enojo, ni me acuerdo lo que dije.</t>
  </si>
  <si>
    <t>Puedo encontrar lo positivo de cada situación.</t>
  </si>
  <si>
    <t>Necesito estar seguro, no me gustan los cambios, lo desconocido.</t>
  </si>
  <si>
    <t>No me gusta pensar que yo pueda ser vulgar.</t>
  </si>
  <si>
    <t>Suelen acusarme de ser una persona apática, pasiva, abstraída de la realidad.</t>
  </si>
  <si>
    <t>No grito, mi tono de voz es fuerte.</t>
  </si>
  <si>
    <t>Me gusta saber el porqué de las cosas, profundizar mis conocimientos, aunque después no los comparta a los demás.</t>
  </si>
  <si>
    <t>Suelen acusarme de ser una persona competitiva, vanidosa, narcisista.</t>
  </si>
  <si>
    <t>Mi actitud de servicio me lleva a una dedicación activa, poniendo todo mi tiempo y esfuerzo.</t>
  </si>
  <si>
    <t>Aunque generalmente no lo exprese, me irrito fácilmente cuando los demás no hacen lo que corresponde.</t>
  </si>
  <si>
    <t>Por ser una persona demasiado agresiva, a veces he irritado a los demás.</t>
  </si>
  <si>
    <t>Me gusta que me den tiempo para terminar las cosas que tengo que hacer y para tomar mis decisiones.</t>
  </si>
  <si>
    <t>Me siento una persona impulsada a ayudar a otras personas, aunque ellas no me lo pidan.</t>
  </si>
  <si>
    <t>Puedo detectar nuevas oportunidades en las distintas situaciones que vivo</t>
  </si>
  <si>
    <t>Me siento bien teniendo todo bajo control.</t>
  </si>
  <si>
    <t>La vida es una ocasión para reflexionar y aprender, aspiro a entender mejor.</t>
  </si>
  <si>
    <t>Suelen acusarme de ser una persona depresiva, fatalista, excéntrica, autodestructiva.</t>
  </si>
  <si>
    <t>Me gusta disfrutar y que todos disfrutemos.</t>
  </si>
  <si>
    <t>A veces tengo mucho temor, me da la sensación que siempre estoy luchando con mis miedos.</t>
  </si>
  <si>
    <t>Me molesta no entender algo, me hace sentir ignorante.</t>
  </si>
  <si>
    <t xml:space="preserve">Me gusta estar en familia, que los míos estén cerca y protegidos. </t>
  </si>
  <si>
    <t>Me gusta rescatar a las personas que veo que están en apuros o en situaciones embarazosas.</t>
  </si>
  <si>
    <t>Si los demás vieran el lado positivo de las cosas, serían más felices.</t>
  </si>
  <si>
    <t>Me gusta que estén atentos a mis necesidades, pero cuando yo lo quiero.</t>
  </si>
  <si>
    <t>El dinero me da tranquilidad.</t>
  </si>
  <si>
    <t>Son muy importantes, para mí, las formas, la estética y el buen gusto.</t>
  </si>
  <si>
    <t xml:space="preserve">Juzgo el comportamiento de la gente sin pensar en sus motivaciones. </t>
  </si>
  <si>
    <t>Con frecuencia el parecer de los demás no me interesa.</t>
  </si>
  <si>
    <t>Necesito nuevas experiencias, nuevas sensaciones, no me gusta la rutina ni los problemas.</t>
  </si>
  <si>
    <t>Me gusta proyectar, lograr éxito, triunfar.</t>
  </si>
  <si>
    <t>Me gusta que me respeten y me quieran tal como soy.</t>
  </si>
  <si>
    <t>No me gusta que me pidan una opinión cuando no estoy dispuesto a darla.</t>
  </si>
  <si>
    <t>Me gusta que la gente necesite de mí.</t>
  </si>
  <si>
    <t>El tiempo es de cada uno, me molesta que la gente no cumpla estrictamente los horarios comprometidos.</t>
  </si>
  <si>
    <t>Si me conocen como soy, no entiendo por qué me provocan y me hacen enojar.</t>
  </si>
  <si>
    <t>La vida es sacrificada, muchas veces hay que aceptar lo que te toca.</t>
  </si>
  <si>
    <t>Aunque deba tomar una decisión sencilla, necesito contar con toda la información.</t>
  </si>
  <si>
    <t>Prefiero aislarme para pensar lo que siento.</t>
  </si>
  <si>
    <t>Me gusta cuidar a los demás, prestar atención a sus necesidades.</t>
  </si>
  <si>
    <t>No puedo dejar de pensar en las metas que me he propuesto.</t>
  </si>
  <si>
    <t>Se puede decir que soy una persona ética, confiable, productiva, ordenada y honesta.</t>
  </si>
  <si>
    <t>Me molesta cometer alguna transgresión, prefiero que esté claro lo que debo hacer.</t>
  </si>
  <si>
    <t>Cuando los problemas agobian, lo mejor es no hacer nada.</t>
  </si>
  <si>
    <t>Soy una persona propensa a la nostalgia, a la melancolía y a revivir el pasado.</t>
  </si>
  <si>
    <t>Disfruto en el ejercicio del poder.</t>
  </si>
  <si>
    <t>A veces soy una persona dispersa y curiosa, todo me interesa.</t>
  </si>
  <si>
    <t>Si los demás lograran estar motivados como yo, podrían vivir mejor.</t>
  </si>
  <si>
    <t>Me cuesta pensar sólo en las cosas positivas y alegres que he vivido.</t>
  </si>
  <si>
    <t>Me gusta estar alegre, evitar las penas y el aburrimiento, aunque piensen que soy superficial.</t>
  </si>
  <si>
    <t>Soy una persona que casi siempre está calmada y tranquila.</t>
  </si>
  <si>
    <t>Me doy cuenta fácilmente donde reside el poder en un grupo.</t>
  </si>
  <si>
    <t>Descalifico a las personas que considero ignorantes.</t>
  </si>
  <si>
    <t>Suelen acusarme de ser una persona inflexible, formal, celosa, controladora, obsesiva.</t>
  </si>
  <si>
    <t>Me comunico con mis amistades más a menudo de lo que ellas se comunican conmigo.</t>
  </si>
  <si>
    <t>Aunque haya tomado una decisión, con frecuencia me replanteo si habrá sido la correcta.</t>
  </si>
  <si>
    <t>No me gustan las improvisaciones, las considero una irresponsabilidad.</t>
  </si>
  <si>
    <t>Los demás se han interesado en mí porque soy una persona extrovertida y me intereso y me comprometo por ellos.</t>
  </si>
  <si>
    <t>No me gusta perder tiempo con los demás cuando puedo estar leyendo un buen libro o navegando por Internet.</t>
  </si>
  <si>
    <t>Suelo proyectar mis miedos a los demás.</t>
  </si>
  <si>
    <t>Me doy cuenta de los puntos débiles de los demás y los ataco si me provocan.</t>
  </si>
  <si>
    <t>La armonía y la aceptación son valores importantes para mí.</t>
  </si>
  <si>
    <t>Tiendo a ser sensible y a permanecer en mi mundo.</t>
  </si>
  <si>
    <t>La vida es una oportunidad de pasarla bien y si hay penas, olvidarlas.</t>
  </si>
  <si>
    <t>El dinero es importante porque brinda oportunidades, hay que saber invertirlo, multiplicarlo.</t>
  </si>
  <si>
    <t>Me resulta fácil expresar mi insatisfacción.</t>
  </si>
  <si>
    <t>Me fastidia que me perturben.</t>
  </si>
  <si>
    <t>Me molesta el dinero, mejor gastarlo en algo refinado, exquisito.</t>
  </si>
  <si>
    <t>Se puede decir que soy una persona perceptiva, analítica, estudiosa y perseverante.</t>
  </si>
  <si>
    <t>Me importa mucho lo que los otros puedan llegar a pensar de mí.</t>
  </si>
  <si>
    <t>Cuido muy bien mi dinero y el de los demás.</t>
  </si>
  <si>
    <t>Siempre pasan cosas buenas y malas, es mejor enfocarse en las buenas.</t>
  </si>
  <si>
    <t>Hay muchas personas que dependen de mi ayuda y generosidad.</t>
  </si>
  <si>
    <t>A veces necesito dejar de lado alguna norma si ésta me impide llegar a mis objetivos.</t>
  </si>
  <si>
    <t xml:space="preserve">Soy una persona buena para persuadir y movilizar a los demás. </t>
  </si>
  <si>
    <t>Me gusta que las personas aprendan de mi y sepan agradecer mis consejos.</t>
  </si>
  <si>
    <t>No me asusta enfrentarme con otros y lo hago.</t>
  </si>
  <si>
    <t>Suelen acusarme de ser una persona distante, arrogante, desvalorizadora.</t>
  </si>
  <si>
    <t>Me he inclinado a no imponerme ante los demás, evito entrar en conflictos.</t>
  </si>
  <si>
    <t>El tiempo es necesario para hacer lo que se debe.</t>
  </si>
  <si>
    <t>Una de mis cualidades es la habilidad para describir mis estados internos.</t>
  </si>
  <si>
    <t>Me encanta compartir mis anécdotas de los buenos momentos que he pasado.</t>
  </si>
  <si>
    <t>A veces siento que no soy libre porque tengo que atender a los otros.</t>
  </si>
  <si>
    <t>No me gusta que me digan que me adapte o me conforme.</t>
  </si>
  <si>
    <t>Me gusta que respeten mi soledad y mi distancia para poder procesar mis emociones y pensamientos.</t>
  </si>
  <si>
    <t>No hay libertad sin responsabilidad.</t>
  </si>
  <si>
    <t>No tengo problemas de tomar riesgos.</t>
  </si>
  <si>
    <t>Me precio de ser una persona estable.</t>
  </si>
  <si>
    <t>Creo que merezco estar en primer término en la vida de algunos, por todo lo que he hecho por ellos.</t>
  </si>
  <si>
    <t>Suelen acusarme de ser una persona indecisa, cobarde, desconfiada.</t>
  </si>
  <si>
    <t>El tiempo es la oportunidad de poder hacer de todo.</t>
  </si>
  <si>
    <t>Amo la libertad, me permite ser.</t>
  </si>
  <si>
    <t>No soporto a quien cambia de parecer en función de las conveniencias.</t>
  </si>
  <si>
    <t>Me gusta tener libertad para poder hacer más cosas.</t>
  </si>
  <si>
    <t>No me gusta estar en medio del baile, prefiero mirar desde un extremo de la barra.</t>
  </si>
  <si>
    <t>Se puede decir que soy una persona entusiasta, curiosa, divertida, simpática, alegre y optimista.</t>
  </si>
  <si>
    <t>Necesito estar motivado por algo trascendente para entrar en acción.</t>
  </si>
  <si>
    <t>Me gusta crear, soñar, vibrar la vida.</t>
  </si>
  <si>
    <t>Yo se bien dónde tengo cada cosa, me molesta que las toquen o desacomoden.</t>
  </si>
  <si>
    <t>Me gusta que me valoren y confíen en mí, que me digan qué esperan de mí.</t>
  </si>
  <si>
    <t>A menudo hay personas que se me acercan pidiéndome que las conforte y las aconseje.</t>
  </si>
  <si>
    <r>
      <rPr>
        <b/>
        <u/>
        <sz val="10"/>
        <color rgb="FFFF0000"/>
        <rFont val="Arial"/>
      </rPr>
      <t>CONSIGNA 2</t>
    </r>
    <r>
      <rPr>
        <b/>
        <sz val="10"/>
        <color rgb="FFFF0000"/>
        <rFont val="Arial"/>
      </rPr>
      <t>:</t>
    </r>
  </si>
  <si>
    <r>
      <rPr>
        <b/>
        <sz val="10"/>
        <color theme="1"/>
        <rFont val="Arial"/>
      </rPr>
      <t xml:space="preserve">A continuación encontrarás 9 afirmaciones de las cuales debes </t>
    </r>
    <r>
      <rPr>
        <b/>
        <sz val="10"/>
        <color theme="1"/>
        <rFont val="Arial"/>
      </rPr>
      <t>seleccionar las tres con las que más te identifiques</t>
    </r>
    <r>
      <rPr>
        <sz val="10"/>
        <color theme="1"/>
        <rFont val="Arial"/>
      </rPr>
      <t xml:space="preserve"> y ordenarlas en los</t>
    </r>
  </si>
  <si>
    <r>
      <rPr>
        <b/>
        <sz val="10"/>
        <color theme="1"/>
        <rFont val="Arial"/>
      </rPr>
      <t>recuadros del costado izquierdo de las mismas con los números 1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2</t>
    </r>
    <r>
      <rPr>
        <sz val="10"/>
        <color theme="1"/>
        <rFont val="Arial"/>
      </rPr>
      <t xml:space="preserve"> y </t>
    </r>
    <r>
      <rPr>
        <b/>
        <sz val="10"/>
        <color theme="1"/>
        <rFont val="Arial"/>
      </rPr>
      <t>3</t>
    </r>
    <r>
      <rPr>
        <sz val="10"/>
        <color theme="1"/>
        <rFont val="Arial"/>
      </rPr>
      <t xml:space="preserve"> por el </t>
    </r>
    <r>
      <rPr>
        <b/>
        <sz val="10"/>
        <color theme="1"/>
        <rFont val="Arial"/>
      </rPr>
      <t>orden de importancia</t>
    </r>
    <r>
      <rPr>
        <sz val="10"/>
        <color theme="1"/>
        <rFont val="Arial"/>
      </rPr>
      <t xml:space="preserve"> que tienen para vos. (Deben quedar </t>
    </r>
    <r>
      <rPr>
        <b/>
        <sz val="10"/>
        <color theme="1"/>
        <rFont val="Arial"/>
      </rPr>
      <t xml:space="preserve">tres </t>
    </r>
  </si>
  <si>
    <t>celdas ocupadas con los números 1, 2 y 3, y seis celdas vacías).</t>
  </si>
  <si>
    <t>Evito el conflicto, porque trato de comprender y mediar en cualquier situación.</t>
  </si>
  <si>
    <t>Evito la cólera y el enojo, porque no es correcto irritarse.</t>
  </si>
  <si>
    <t>Evito la mediocridad, porque no quiero ser uno más.</t>
  </si>
  <si>
    <t>Evito reconocer y atender mis propias necesidades, priorizando las necesidades de los otros.</t>
  </si>
  <si>
    <t>Evito cualquier tipo de irresponsabilidad.</t>
  </si>
  <si>
    <t>Evito la debilidad, porque no hay nada imposible para mí.</t>
  </si>
  <si>
    <t>Evito la confusión, porque necesito tener las ideas claras.</t>
  </si>
  <si>
    <t>Evito el dolor, porque siempre veo lo positivo de la vida.</t>
  </si>
  <si>
    <t>Evito el fracaso a toda costa, porque creo que siempre se puede hacer algo más.</t>
  </si>
  <si>
    <r>
      <rPr>
        <b/>
        <u/>
        <sz val="10"/>
        <color rgb="FFFF0000"/>
        <rFont val="Arial"/>
      </rPr>
      <t>CONSIGNA 3</t>
    </r>
    <r>
      <rPr>
        <b/>
        <sz val="10"/>
        <color rgb="FFFF0000"/>
        <rFont val="Arial"/>
      </rPr>
      <t>:</t>
    </r>
  </si>
  <si>
    <r>
      <rPr>
        <b/>
        <sz val="10"/>
        <color theme="1"/>
        <rFont val="Arial"/>
      </rPr>
      <t>Por último, a continuación encontrarás algunos verbos, marca en el recuadro con 1</t>
    </r>
    <r>
      <rPr>
        <sz val="10"/>
        <color theme="1"/>
        <rFont val="Arial"/>
      </rPr>
      <t xml:space="preserve"> el verbo con el que</t>
    </r>
    <r>
      <rPr>
        <b/>
        <sz val="10"/>
        <color theme="1"/>
        <rFont val="Arial"/>
      </rPr>
      <t xml:space="preserve"> más te identificas</t>
    </r>
    <r>
      <rPr>
        <sz val="10"/>
        <color theme="1"/>
        <rFont val="Arial"/>
      </rPr>
      <t>, y con</t>
    </r>
    <r>
      <rPr>
        <b/>
        <sz val="10"/>
        <color theme="1"/>
        <rFont val="Arial"/>
      </rPr>
      <t xml:space="preserve"> 2</t>
    </r>
    <r>
      <rPr>
        <sz val="10"/>
        <color theme="1"/>
        <rFont val="Arial"/>
      </rPr>
      <t xml:space="preserve"> el verbo con</t>
    </r>
  </si>
  <si>
    <r>
      <rPr>
        <b/>
        <sz val="10"/>
        <color theme="1"/>
        <rFont val="Arial"/>
      </rPr>
      <t>el que menos te identificas</t>
    </r>
    <r>
      <rPr>
        <sz val="10"/>
        <color theme="1"/>
        <rFont val="Arial"/>
      </rPr>
      <t>. (Deben quedar dos celdas ocupadas con 1 y 2 y siete celdas vacías).</t>
    </r>
  </si>
  <si>
    <t>Realizar</t>
  </si>
  <si>
    <t>Alegrar</t>
  </si>
  <si>
    <t>Observar</t>
  </si>
  <si>
    <t>Liderar</t>
  </si>
  <si>
    <t>Cooperar</t>
  </si>
  <si>
    <t>Ayudar</t>
  </si>
  <si>
    <t>Crear</t>
  </si>
  <si>
    <t>Organizar</t>
  </si>
  <si>
    <t>Serenar</t>
  </si>
  <si>
    <r>
      <rPr>
        <b/>
        <sz val="10"/>
        <color theme="1"/>
        <rFont val="Arial"/>
      </rPr>
      <t>Terminado el trabajo</t>
    </r>
    <r>
      <rPr>
        <sz val="10"/>
        <color theme="1"/>
        <rFont val="Arial"/>
      </rPr>
      <t xml:space="preserve">, en la </t>
    </r>
    <r>
      <rPr>
        <b/>
        <sz val="10"/>
        <color theme="1"/>
        <rFont val="Arial"/>
      </rPr>
      <t>Hoja ENEAGRAMA</t>
    </r>
    <r>
      <rPr>
        <sz val="10"/>
        <color theme="1"/>
        <rFont val="Arial"/>
      </rPr>
      <t xml:space="preserve"> que aparece al pie encontrarás tu </t>
    </r>
    <r>
      <rPr>
        <b/>
        <sz val="10"/>
        <color theme="1"/>
        <rFont val="Arial"/>
      </rPr>
      <t>Eneagrama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</si>
  <si>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Por favor </t>
    </r>
    <r>
      <rPr>
        <b/>
        <sz val="10"/>
        <color theme="1"/>
        <rFont val="Arial"/>
      </rPr>
      <t>imprime</t>
    </r>
    <r>
      <rPr>
        <sz val="10"/>
        <color theme="1"/>
        <rFont val="Arial"/>
      </rPr>
      <t xml:space="preserve"> la hoja de </t>
    </r>
    <r>
      <rPr>
        <b/>
        <sz val="10"/>
        <color theme="1"/>
        <rFont val="Arial"/>
      </rPr>
      <t>ENEAGRAMA</t>
    </r>
    <r>
      <rPr>
        <sz val="10"/>
        <color theme="1"/>
        <rFont val="Arial"/>
      </rPr>
      <t xml:space="preserve"> para trabajar en su lectura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</si>
  <si>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Si tienes un </t>
    </r>
    <r>
      <rPr>
        <b/>
        <sz val="10"/>
        <color theme="1"/>
        <rFont val="Arial"/>
      </rPr>
      <t>Eneagrama anterior</t>
    </r>
    <r>
      <rPr>
        <sz val="10"/>
        <color theme="1"/>
        <rFont val="Arial"/>
      </rPr>
      <t xml:space="preserve"> y deseas compararlo con el que acabas de responder, en la hoja </t>
    </r>
    <r>
      <rPr>
        <b/>
        <sz val="10"/>
        <color theme="1"/>
        <rFont val="Arial"/>
      </rPr>
      <t>ANTERIOR</t>
    </r>
    <r>
      <rPr>
        <sz val="10"/>
        <color theme="1"/>
        <rFont val="Arial"/>
      </rPr>
      <t xml:space="preserve"> que aparece al pie </t>
    </r>
  </si>
  <si>
    <t>podrás volcar los datos correspondientes para que la planilla haga los mismos cálculos de la PLANILLA PARA EL FORMADOR.</t>
  </si>
  <si>
    <t>Respuesta</t>
  </si>
  <si>
    <t>Tipología</t>
  </si>
  <si>
    <t>TIPOLOGIAS</t>
  </si>
  <si>
    <t>CICLO</t>
  </si>
  <si>
    <t>ETAPA</t>
  </si>
  <si>
    <t>MIEDO</t>
  </si>
  <si>
    <t>ACTITUD</t>
  </si>
  <si>
    <t>ELEMENTO</t>
  </si>
  <si>
    <t>NIVEL CONCIENTE</t>
  </si>
  <si>
    <t>SENTIDO</t>
  </si>
  <si>
    <t>Afirmación</t>
  </si>
  <si>
    <t>De O a 7  Años</t>
  </si>
  <si>
    <t>A la DISTANCIA, al abandono. Lo agrava la muerte de un ser querido o una mascota o la separación de los padres.</t>
  </si>
  <si>
    <t>PRESENCIA, estar presente con el corazón. Presencia cualitativa y cuantitativa. Acompañarlo. Necesita la figura materna y paterna.</t>
  </si>
  <si>
    <t>El AGUA, disuelve el miedo. Recuerda al líquido amniótico. Es sanante.</t>
  </si>
  <si>
    <t>YO. Afianzar el yo personal. Poner límites claros y precisos sin mayores explicaciones. Sólo en esta etapa funciona el "premio - castigo".</t>
  </si>
  <si>
    <t>GUSTO. Es importante variar su alimentación para que sepa que existe lo dulce, lo salado y lo amargo. Aprende que no todo lo que le gusta es nutritivo.</t>
  </si>
  <si>
    <t>De 7 a 14  Años</t>
  </si>
  <si>
    <t>A la CERCANÍA, a LOS OTROS, a que nadie lo quiera, no agradarle al otro, al rechazo o a que le hagan mal.</t>
  </si>
  <si>
    <t>AUTONOMÍA, ayudarlo a que enfrente las situaciones por sí mismo y decidan. Estar cerca y acompañarlo. Darle explicaciones. "La norma se apoya en un valor"</t>
  </si>
  <si>
    <t>El FUEGO. Inconscientemente el jugar con fuego ayuda a disolver el miedo (campamentos fogones)</t>
  </si>
  <si>
    <t>SOCIAL. Dignidad: Palabra sagrada. Evitar la burla. Nace la verdadera solidaridad que disuelve el miedo al otro. Enseñarle a valorarse y el valor del otro.</t>
  </si>
  <si>
    <t>VISTA. Enseñar a ver más allá, a través de un microscopio, un telescopio o  acostarse en el pasto y mirar el cielo. Ver juntos videos o películas y comentarlas.</t>
  </si>
  <si>
    <t>De 14 a 21 Años</t>
  </si>
  <si>
    <t>Al CAMBIO. Todo cambia en la vida. Se constituye como persona. Necesita tomar distancia. Se produce el proceso hormonal de la adolescencia.</t>
  </si>
  <si>
    <t>SEGURIDAD. Dejarlo actuar, pero estar cuando lo necesite. Ser un referente  o "faro". Que sepa que "puede contar con uno". Mostrarle coherencia y consistencia.</t>
  </si>
  <si>
    <t>El AIRE. Incentivar la vida al aire libre. Trabajar la respiración. Ir de campamento, correr, andar en bicicleta.</t>
  </si>
  <si>
    <t>EXISTENCIAL. Etapa de preguntas sobre la vida y la muerte, aprender a ser crítico, a cuestionarse. Flexibilizar las normas y mantener firmes los valores.</t>
  </si>
  <si>
    <t>TACTO. La música y el arte lo preparan para el amor. Hacer trabajos manuales, artesanías, sentir las cosas para lograr sensibilidad. Tocar un instrumento</t>
  </si>
  <si>
    <t>De 21 a 28 Años</t>
  </si>
  <si>
    <t>A la CONTINUIDAD, a perder la libertad, a la rutina. Le cuesta asumir compromisos. La rutina está dentro de cada uno.</t>
  </si>
  <si>
    <t>CREATIVIDAD. Lograr una actitud distinta hacia lo cotidiano, que sea placentero. Hacer extraordinario lo ordinario de cada día</t>
  </si>
  <si>
    <t>La TIERRA enseña que no todo en la vida es invierno o verano, también existe la primavera y el otoño, la rutina no existe, son ciclos naturales.</t>
  </si>
  <si>
    <t>TRANSPERSONAL. Etapa de los ¿para qué?. Encontrar el verdadero sentido de la vida. Buscar la misión de vida. ¿Para qué estoy? ¿A dónde voy?</t>
  </si>
  <si>
    <t>OLFATO. Relacionado con la glándula pineal. Tiene que ver con el sentido común. Actualmente es el sentido menos desarrollado.</t>
  </si>
  <si>
    <t>De 28 a 35 y de 35 a 42 Años</t>
  </si>
  <si>
    <t>A PERDER la figura, la pareja, la virilidad, el dinero, la vida, lo que me gusta hacer. Miedo a perder el tiempo y la juventud.</t>
  </si>
  <si>
    <t>SER. El tener compulsivamente disminuye solo momentáneamente el miedo a perder. Poner tiempo y energía para el ser, crecimiento interior.</t>
  </si>
  <si>
    <t>La LUZ. Contacto con el sol para aprender a sentir la luz. Tiempo para tener claridad,  para la soledad, no aislamiento, sino encontrarse con sí mismo.</t>
  </si>
  <si>
    <t>UNIDAD. Conciencia comunitaria. Pensar en plural: "no soy, somos",  "no es mío, es nuestro". Estar en armonía y agradecer y sonreír a la vida.</t>
  </si>
  <si>
    <t>OÍDO. Escuchar el doble de lo que se habla. Aprender a escuchar y a escucharse. Prestar atención a lo sagrado en uno. Estar a la escucha.</t>
  </si>
  <si>
    <t>Transformación</t>
  </si>
  <si>
    <t>De 42 a 49 Años</t>
  </si>
  <si>
    <t>A la CONTINUIDAD, a la rutina. TENER: Aferrarse a los bienes y sólo tomarse recreos placenteros. Es necesario consolidar el SER.</t>
  </si>
  <si>
    <t>CREATIVIDAD. Lograr una actitud distinta hacia lo cotidiano, hacer extraordinario lo ordinario. SER: Expansión de la persona</t>
  </si>
  <si>
    <t>La TIERRA: energía de vida y de creación. Tomar contacto con la tierra, caminar, atender el jardín,  regar.</t>
  </si>
  <si>
    <t>TRANSPERSONAL. No encerrarse en la preocupaciones inmediatas. Focalizarse en el Ideal de Vida</t>
  </si>
  <si>
    <t>OLFATO. Actuar con sentido común. Desarrolla el hemisferio derecho del cerebro. Disfrutar las esencias y sabiduría oculta en los aromas.</t>
  </si>
  <si>
    <t>De 49 a 56 Años</t>
  </si>
  <si>
    <t>Al CAMBIO, temor por los cambios físicos que comienzan: andropausia, menopausia. Nido vacío lleva al reencuentro de la pareja. La experiencia ayuda a ser guías.</t>
  </si>
  <si>
    <t>SEGURIDAD, el tener da seguridad afuera: en lo material, el éxito; acción dirigida al trabajo para llenar vacíos. Pero el SER da seguridad en la plenitud personal. Amistad.</t>
  </si>
  <si>
    <t>El AIRE, incentivar la vida al aire libre. Vivir sin fronteras, liberarse de las emociones.</t>
  </si>
  <si>
    <t>EXISTENCIAL. El tener lleva a caer en la crítica, el pesimismo. El SER implica momento de cambios auténticos. Persona positiva que colabora y participa por el bien.</t>
  </si>
  <si>
    <t>TACTO. Momento de sacar a la luz hobbies latentes. Masajes. Abrazos. Redescubrir el amor en la pareja.</t>
  </si>
  <si>
    <t>De 56 a 63 Años</t>
  </si>
  <si>
    <t>A la CERCANÍA A LOS OTROS, a robos, a sufrir violencia. Lleva a la persona a encerrase, no salir. Miedo a lo que puede pasar a los hijos y nietos.</t>
  </si>
  <si>
    <t>AUTONOMÍA. No dejar de tomar recaudos, pero abrirse a la vida. Participar del "bien común"</t>
  </si>
  <si>
    <t>El FUEGO le aporta vitalidad renovadora. El asado, lo culinario, cocinar para los demás con amor.</t>
  </si>
  <si>
    <t>SOCIAL. Servicio social a través de lo experimentado. Solidaridad y participación. No caer en la amargura y la desesperanza</t>
  </si>
  <si>
    <t>VISTA. Ejercitar la capacidad de asombro. Aprender cosas nuevas. Ser visionarios.</t>
  </si>
  <si>
    <t>De 63 a 70 Años</t>
  </si>
  <si>
    <t>A la DISTANCIA, a sentirse inútil, sensación de abandono. Reclama presencia, tiempo y energía.</t>
  </si>
  <si>
    <t>PRESENCIA. Acompañamiento, presencia y servicio no invasivos, no tóxicos. Sabiduría en límites sanos.</t>
  </si>
  <si>
    <t>El AGUA disuelve el miedo. Es sanante. Alarma de problemas psicológicos si hay rechazo a la higiene.</t>
  </si>
  <si>
    <t>YO. Si se afirma el ego = Tóxico, si se afirma la conciencia = Sabio. Autoestima sana.</t>
  </si>
  <si>
    <t>GUSTO. Saborear = sabiduría. Cuidarse y comer bien. En sombra hipocondríacos.</t>
  </si>
  <si>
    <t>De  70 en adelante</t>
  </si>
  <si>
    <t>A PERDER, a la muerte. La muerte como final o como paso a la trascendencia.</t>
  </si>
  <si>
    <t>SER. Momento de confirmar las decisiones fundamentales de la vida. Durar o madurar. Servir.</t>
  </si>
  <si>
    <t>La LUZ, tomar contacto con el sol. Los ojos son las ventanas del alma. Ser faros que iluminan. (una cosa es querer brillar y otra ser luz).</t>
  </si>
  <si>
    <t>UNIDAD. La casa de los abuelos es el corazón de la familia. Tener gratitud y alegría.</t>
  </si>
  <si>
    <t>OÍDO. Ser expertos en el arte de escuchar. En la sombra hablar de sí, criticar y dar consejos que no le piden.</t>
  </si>
  <si>
    <t>Sub Total C</t>
  </si>
  <si>
    <t>Total</t>
  </si>
  <si>
    <t>Afirmaciones</t>
  </si>
  <si>
    <t>Respondidas</t>
  </si>
  <si>
    <t>Totales</t>
  </si>
  <si>
    <t>Parámetro para cálculo de eje de equilibrio: si la media es hasta 13, hay eje con diferencia en extremos de hasta 2 puntos, si la media es  mayor que 13, hay eje con diferencia en extremos de hasta 3 puntos.</t>
  </si>
  <si>
    <t>Libertad - Salir de estructuras o situaciones que asfixian.</t>
  </si>
  <si>
    <t>Abrirse afectivamente, a la vincularidad - Amar.</t>
  </si>
  <si>
    <t>Hacer lo que se debe para lograr el desarrollo personal.</t>
  </si>
  <si>
    <t>Introspección - Mirar lo que no le gusta o no puede cambiar de si.</t>
  </si>
  <si>
    <t>Ver la realidad, lo que no quiere o no puede ver o aceptar.</t>
  </si>
  <si>
    <t>Libertad - Revisar obligaciones o compromisos que se ha creado.</t>
  </si>
  <si>
    <t>Disfrutar - Relejarse de exceso de responsabilidades y control.</t>
  </si>
  <si>
    <t>Una decisión - Poner límites - Considerar las consecuencias.</t>
  </si>
  <si>
    <t>Parar - Delegar - Salir de la adicción a la actividad.</t>
  </si>
  <si>
    <t>Sub Total A</t>
  </si>
  <si>
    <t>Sub Total B</t>
  </si>
  <si>
    <t xml:space="preserve">ENEAGRAMA DE : </t>
  </si>
  <si>
    <t>FECHA del ENEAGRAMA:</t>
  </si>
  <si>
    <r>
      <rPr>
        <b/>
        <sz val="12"/>
        <color rgb="FFFF0000"/>
        <rFont val="Arial"/>
      </rPr>
      <t>Importante: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>El ENEAGRAMA no es un test de personalidad, no siempre el valor más alto de los atributos corresponde a la esencia de la persona</t>
    </r>
  </si>
  <si>
    <t>MEDIA:</t>
  </si>
  <si>
    <t>VALOR DE LOS ATRIBUTOS:</t>
  </si>
  <si>
    <t>FECHA:</t>
  </si>
  <si>
    <t>EDAD:</t>
  </si>
  <si>
    <t>NACIMIENTO:</t>
  </si>
  <si>
    <t>SEXO:</t>
  </si>
  <si>
    <t>ESTADO CIVIL:</t>
  </si>
  <si>
    <t>Respuestas:</t>
  </si>
  <si>
    <t>PROFESIÓN:</t>
  </si>
  <si>
    <t>SIGNO ASTROLÓGICO:</t>
  </si>
  <si>
    <r>
      <rPr>
        <sz val="11"/>
        <color theme="1"/>
        <rFont val="Arial"/>
      </rPr>
      <t xml:space="preserve">Cantidad de Atributos </t>
    </r>
    <r>
      <rPr>
        <b/>
        <sz val="11"/>
        <color theme="1"/>
        <rFont val="Arial"/>
      </rPr>
      <t>SOBRE</t>
    </r>
    <r>
      <rPr>
        <sz val="11"/>
        <color theme="1"/>
        <rFont val="Arial"/>
      </rPr>
      <t xml:space="preserve"> la Media: </t>
    </r>
  </si>
  <si>
    <r>
      <rPr>
        <sz val="11"/>
        <color theme="1"/>
        <rFont val="Arial"/>
      </rPr>
      <t xml:space="preserve">Cantidad de Atributos </t>
    </r>
    <r>
      <rPr>
        <b/>
        <sz val="11"/>
        <color theme="1"/>
        <rFont val="Arial"/>
      </rPr>
      <t>IGUALES</t>
    </r>
    <r>
      <rPr>
        <sz val="11"/>
        <color theme="1"/>
        <rFont val="Arial"/>
      </rPr>
      <t xml:space="preserve"> a la Media: </t>
    </r>
  </si>
  <si>
    <t>Orden</t>
  </si>
  <si>
    <t>Afirmaciones elegidas:</t>
  </si>
  <si>
    <t>Atributo</t>
  </si>
  <si>
    <r>
      <rPr>
        <sz val="11"/>
        <color theme="1"/>
        <rFont val="Arial"/>
      </rPr>
      <t xml:space="preserve">Cantidad de Atributos </t>
    </r>
    <r>
      <rPr>
        <b/>
        <sz val="11"/>
        <color theme="1"/>
        <rFont val="Arial"/>
      </rPr>
      <t>BAJO</t>
    </r>
    <r>
      <rPr>
        <sz val="11"/>
        <color theme="1"/>
        <rFont val="Arial"/>
      </rPr>
      <t xml:space="preserve"> la Media: </t>
    </r>
  </si>
  <si>
    <t>DISPERSIÓN DE LOS ATRIBUTOS RESPECTO DE LA MEDIA:</t>
  </si>
  <si>
    <t>Amplitud de la Media:</t>
  </si>
  <si>
    <t>Verbos:</t>
  </si>
  <si>
    <t>Más Identificado:</t>
  </si>
  <si>
    <t>Menos Identificado:</t>
  </si>
  <si>
    <t>EJES DE EQUILIBRIO:</t>
  </si>
  <si>
    <t>Ser</t>
  </si>
  <si>
    <t>Tener</t>
  </si>
  <si>
    <t>Comunicar</t>
  </si>
  <si>
    <t>Hacer</t>
  </si>
  <si>
    <t>Estar</t>
  </si>
  <si>
    <t>EJE</t>
  </si>
  <si>
    <t>EJES  DE POLARIDAD:</t>
  </si>
  <si>
    <t>Si el valor de la media es hasta 13, existe Eje de Equilibrio cuando la diferencia entre los extremos es de hasta 2 puntos, si el valor de la media es mayor a 13, existe Eje de Equilibrio cuando la diferencia entre los extremos es de hasta 3 puntos.</t>
  </si>
  <si>
    <r>
      <rPr>
        <b/>
        <sz val="11"/>
        <color theme="1"/>
        <rFont val="Arial"/>
      </rPr>
      <t xml:space="preserve">Orden </t>
    </r>
    <r>
      <rPr>
        <i/>
        <sz val="11"/>
        <color theme="1"/>
        <rFont val="Arial"/>
      </rPr>
      <t>- Aire</t>
    </r>
  </si>
  <si>
    <r>
      <rPr>
        <b/>
        <sz val="11"/>
        <color theme="1"/>
        <rFont val="Arial"/>
      </rPr>
      <t>Relación</t>
    </r>
    <r>
      <rPr>
        <sz val="11"/>
        <color theme="1"/>
        <rFont val="Arial"/>
      </rPr>
      <t xml:space="preserve"> - </t>
    </r>
    <r>
      <rPr>
        <i/>
        <sz val="11"/>
        <color theme="1"/>
        <rFont val="Arial"/>
      </rPr>
      <t>Agua</t>
    </r>
  </si>
  <si>
    <r>
      <rPr>
        <b/>
        <sz val="11"/>
        <color theme="1"/>
        <rFont val="Arial"/>
      </rPr>
      <t xml:space="preserve">Imagen </t>
    </r>
    <r>
      <rPr>
        <sz val="11"/>
        <color theme="1"/>
        <rFont val="Arial"/>
      </rPr>
      <t xml:space="preserve">- </t>
    </r>
    <r>
      <rPr>
        <i/>
        <sz val="11"/>
        <color theme="1"/>
        <rFont val="Arial"/>
      </rPr>
      <t>Tierra</t>
    </r>
  </si>
  <si>
    <r>
      <rPr>
        <b/>
        <sz val="11"/>
        <color theme="1"/>
        <rFont val="Arial"/>
      </rPr>
      <t>Fuerza</t>
    </r>
    <r>
      <rPr>
        <i/>
        <sz val="11"/>
        <color theme="1"/>
        <rFont val="Arial"/>
      </rPr>
      <t xml:space="preserve"> -Fuego</t>
    </r>
  </si>
  <si>
    <t>Luz</t>
  </si>
  <si>
    <t>Versión</t>
  </si>
  <si>
    <t>EN LA PERSONALIDAD:</t>
  </si>
  <si>
    <t>eneagra_mas@yahoo.com.ar</t>
  </si>
  <si>
    <t>eneagramor@gmail.com</t>
  </si>
  <si>
    <t>Pensamiento</t>
  </si>
  <si>
    <t xml:space="preserve">Máximo valor de los ejes: </t>
  </si>
  <si>
    <t>Laura Salas + Orlando Alfonso</t>
  </si>
  <si>
    <t>Inductivo:</t>
  </si>
  <si>
    <t xml:space="preserve">Mínimo valor de los ejes: </t>
  </si>
  <si>
    <t>Formadores de Eneagrama</t>
  </si>
  <si>
    <t xml:space="preserve">Diferencia: </t>
  </si>
  <si>
    <t>Porcentaje</t>
  </si>
  <si>
    <t>POLARIDAD EN LA PERSONALIDAD:</t>
  </si>
  <si>
    <t>Posición</t>
  </si>
  <si>
    <t>Activo (+)</t>
  </si>
  <si>
    <t>Receptivo (-)</t>
  </si>
  <si>
    <r>
      <rPr>
        <b/>
        <sz val="10"/>
        <color theme="1"/>
        <rFont val="Arial"/>
      </rPr>
      <t>Neutro (</t>
    </r>
    <r>
      <rPr>
        <b/>
        <u/>
        <sz val="10"/>
        <color theme="1"/>
        <rFont val="Arial"/>
      </rPr>
      <t>-</t>
    </r>
    <r>
      <rPr>
        <b/>
        <sz val="10"/>
        <color theme="1"/>
        <rFont val="Arial"/>
      </rPr>
      <t>)</t>
    </r>
  </si>
  <si>
    <t>Deductivo:</t>
  </si>
  <si>
    <t>Promedio</t>
  </si>
  <si>
    <t>Valor</t>
  </si>
  <si>
    <t>Analógico:</t>
  </si>
  <si>
    <t>ANÁLISIS DE LA PERSONALIDAD POR TRÍADAS:</t>
  </si>
  <si>
    <t>Operatividad</t>
  </si>
  <si>
    <t xml:space="preserve">Tipo de expresión </t>
  </si>
  <si>
    <t>Área de la Acción:</t>
  </si>
  <si>
    <t>Área de la Sensibilidad:</t>
  </si>
  <si>
    <t>Área del Pensamiento:</t>
  </si>
  <si>
    <t>Expresión de la Personalidad actual</t>
  </si>
  <si>
    <t>Inteligencia</t>
  </si>
  <si>
    <t>Manifiesto:</t>
  </si>
  <si>
    <t>Práctica:</t>
  </si>
  <si>
    <t>Oculto:</t>
  </si>
  <si>
    <t>Diversificado:</t>
  </si>
  <si>
    <t>Racional:</t>
  </si>
  <si>
    <t>Vincularidad</t>
  </si>
  <si>
    <t>Solución Conflictos Internos</t>
  </si>
  <si>
    <t>Reacción ante Problemas</t>
  </si>
  <si>
    <t>Enfrentar:</t>
  </si>
  <si>
    <t>Combativos</t>
  </si>
  <si>
    <t>Reactivos</t>
  </si>
  <si>
    <t>Emocional:</t>
  </si>
  <si>
    <t>Acercar:</t>
  </si>
  <si>
    <t>Sumisos</t>
  </si>
  <si>
    <t>Eficaces</t>
  </si>
  <si>
    <t>CIRCUNSTANCIALES:</t>
  </si>
  <si>
    <t>Alejar:</t>
  </si>
  <si>
    <t>Retirados</t>
  </si>
  <si>
    <t>Optimistas</t>
  </si>
  <si>
    <t>ETAPA DE LA VIDA:</t>
  </si>
  <si>
    <t>Ciclo</t>
  </si>
  <si>
    <t>Septenio</t>
  </si>
  <si>
    <t>Importante: El ENEAGRAMA no es un test de personalidad, no siempre el valor más alto de los Atributos corresponde a la Esencia de la persona</t>
  </si>
  <si>
    <r>
      <rPr>
        <b/>
        <u/>
        <sz val="11"/>
        <color rgb="FF000000"/>
        <rFont val="Arial"/>
      </rPr>
      <t>MUY IMPORTANTE</t>
    </r>
    <r>
      <rPr>
        <b/>
        <sz val="11"/>
        <color rgb="FF000000"/>
        <rFont val="Arial"/>
      </rPr>
      <t>:</t>
    </r>
    <r>
      <rPr>
        <b/>
        <sz val="11"/>
        <color rgb="FFFF0000"/>
        <rFont val="Arial"/>
      </rPr>
      <t xml:space="preserve"> </t>
    </r>
    <r>
      <rPr>
        <b/>
        <i/>
        <sz val="11"/>
        <color rgb="FFFF0000"/>
        <rFont val="Arial"/>
      </rPr>
      <t>Esta planilla debe ser interpetada por persona formada en Eneagrama,                                                                                                                                 no intentes entenderla si no tiene los conocimientos necesarios, puede generarte conclusiones erróneas.</t>
    </r>
  </si>
  <si>
    <r>
      <rPr>
        <sz val="11"/>
        <color theme="1"/>
        <rFont val="Arial"/>
      </rPr>
      <t xml:space="preserve">Cantidad de Atributos </t>
    </r>
    <r>
      <rPr>
        <b/>
        <sz val="11"/>
        <color theme="1"/>
        <rFont val="Arial"/>
      </rPr>
      <t>SOBRE</t>
    </r>
    <r>
      <rPr>
        <sz val="11"/>
        <color theme="1"/>
        <rFont val="Arial"/>
      </rPr>
      <t xml:space="preserve"> la Media: </t>
    </r>
  </si>
  <si>
    <r>
      <rPr>
        <sz val="11"/>
        <color theme="1"/>
        <rFont val="Arial"/>
      </rPr>
      <t xml:space="preserve">Cantidad de Atributos </t>
    </r>
    <r>
      <rPr>
        <b/>
        <sz val="11"/>
        <color theme="1"/>
        <rFont val="Arial"/>
      </rPr>
      <t>IGUALES</t>
    </r>
    <r>
      <rPr>
        <sz val="11"/>
        <color theme="1"/>
        <rFont val="Arial"/>
      </rPr>
      <t xml:space="preserve"> a la Media: </t>
    </r>
  </si>
  <si>
    <r>
      <rPr>
        <sz val="11"/>
        <color theme="1"/>
        <rFont val="Arial"/>
      </rPr>
      <t xml:space="preserve">Cantidad de Atributos </t>
    </r>
    <r>
      <rPr>
        <b/>
        <sz val="11"/>
        <color theme="1"/>
        <rFont val="Arial"/>
      </rPr>
      <t>BAJO</t>
    </r>
    <r>
      <rPr>
        <sz val="11"/>
        <color theme="1"/>
        <rFont val="Arial"/>
      </rPr>
      <t xml:space="preserve"> la Media: </t>
    </r>
  </si>
  <si>
    <r>
      <rPr>
        <b/>
        <sz val="11"/>
        <color theme="1"/>
        <rFont val="Arial"/>
      </rPr>
      <t xml:space="preserve">Orden </t>
    </r>
    <r>
      <rPr>
        <i/>
        <sz val="11"/>
        <color theme="1"/>
        <rFont val="Arial"/>
      </rPr>
      <t>- Aire</t>
    </r>
  </si>
  <si>
    <r>
      <rPr>
        <b/>
        <sz val="11"/>
        <color theme="1"/>
        <rFont val="Arial"/>
      </rPr>
      <t>Relación</t>
    </r>
    <r>
      <rPr>
        <sz val="11"/>
        <color theme="1"/>
        <rFont val="Arial"/>
      </rPr>
      <t xml:space="preserve"> - </t>
    </r>
    <r>
      <rPr>
        <i/>
        <sz val="11"/>
        <color theme="1"/>
        <rFont val="Arial"/>
      </rPr>
      <t>Agua</t>
    </r>
  </si>
  <si>
    <r>
      <rPr>
        <b/>
        <sz val="11"/>
        <color theme="1"/>
        <rFont val="Arial"/>
      </rPr>
      <t xml:space="preserve">Imagen </t>
    </r>
    <r>
      <rPr>
        <sz val="11"/>
        <color theme="1"/>
        <rFont val="Arial"/>
      </rPr>
      <t xml:space="preserve">- </t>
    </r>
    <r>
      <rPr>
        <i/>
        <sz val="11"/>
        <color theme="1"/>
        <rFont val="Arial"/>
      </rPr>
      <t>Tierra</t>
    </r>
  </si>
  <si>
    <r>
      <rPr>
        <b/>
        <sz val="11"/>
        <color theme="1"/>
        <rFont val="Arial"/>
      </rPr>
      <t>Fuerza</t>
    </r>
    <r>
      <rPr>
        <i/>
        <sz val="11"/>
        <color theme="1"/>
        <rFont val="Arial"/>
      </rPr>
      <t xml:space="preserve"> -Fuego</t>
    </r>
  </si>
  <si>
    <t>Inductivo</t>
  </si>
  <si>
    <r>
      <rPr>
        <b/>
        <sz val="10"/>
        <color theme="1"/>
        <rFont val="Arial"/>
      </rPr>
      <t>Neutro (</t>
    </r>
    <r>
      <rPr>
        <b/>
        <u/>
        <sz val="10"/>
        <color theme="1"/>
        <rFont val="Arial"/>
      </rPr>
      <t>-</t>
    </r>
    <r>
      <rPr>
        <b/>
        <sz val="10"/>
        <color theme="1"/>
        <rFont val="Arial"/>
      </rPr>
      <t>)</t>
    </r>
  </si>
  <si>
    <t>Deductivo</t>
  </si>
  <si>
    <t>Analógico</t>
  </si>
  <si>
    <t>Anlítica:</t>
  </si>
  <si>
    <t xml:space="preserve">Si dispones de un Eneagrama anterior y deseas compararlo con tu nuevo Eneagrama, </t>
  </si>
  <si>
    <t>introduce aquí el valor de los Atributos que tenía ese Eneagrama anterior:</t>
  </si>
  <si>
    <t>Introduce en el siguiente recuadro la fecha en que hiciste tu Eneagrama anterior con formato dd/mm/aaaa:</t>
  </si>
  <si>
    <t>Introduce en el siguiente recuadro tu edad al momento de realizar tu Eneagrama anterior (sólo el número):</t>
  </si>
  <si>
    <t>Completados estos datos, verifica si a continuación aparece tu nombre, si no tipéalo y luego imprime esta hoja con tu Eneagrama anterior.</t>
  </si>
  <si>
    <r>
      <rPr>
        <sz val="11"/>
        <color theme="1"/>
        <rFont val="Arial"/>
      </rPr>
      <t xml:space="preserve">Cantidad de Atributos </t>
    </r>
    <r>
      <rPr>
        <b/>
        <sz val="11"/>
        <color theme="1"/>
        <rFont val="Arial"/>
      </rPr>
      <t>SOBRE</t>
    </r>
    <r>
      <rPr>
        <sz val="11"/>
        <color theme="1"/>
        <rFont val="Arial"/>
      </rPr>
      <t xml:space="preserve"> la Media: </t>
    </r>
  </si>
  <si>
    <r>
      <rPr>
        <sz val="11"/>
        <color theme="1"/>
        <rFont val="Arial"/>
      </rPr>
      <t xml:space="preserve">Cantidad de Atributos </t>
    </r>
    <r>
      <rPr>
        <b/>
        <sz val="11"/>
        <color theme="1"/>
        <rFont val="Arial"/>
      </rPr>
      <t>IGUALES</t>
    </r>
    <r>
      <rPr>
        <sz val="11"/>
        <color theme="1"/>
        <rFont val="Arial"/>
      </rPr>
      <t xml:space="preserve"> a la Media: </t>
    </r>
  </si>
  <si>
    <r>
      <rPr>
        <sz val="11"/>
        <color theme="1"/>
        <rFont val="Arial"/>
      </rPr>
      <t xml:space="preserve">Cantidad de Atributos </t>
    </r>
    <r>
      <rPr>
        <b/>
        <sz val="11"/>
        <color theme="1"/>
        <rFont val="Arial"/>
      </rPr>
      <t>BAJO</t>
    </r>
    <r>
      <rPr>
        <sz val="11"/>
        <color theme="1"/>
        <rFont val="Arial"/>
      </rPr>
      <t xml:space="preserve"> la Media: </t>
    </r>
  </si>
  <si>
    <t>ENEAGRAMA ANTERIOR</t>
  </si>
  <si>
    <r>
      <rPr>
        <b/>
        <sz val="11"/>
        <color theme="1"/>
        <rFont val="Arial"/>
      </rPr>
      <t xml:space="preserve">Orden </t>
    </r>
    <r>
      <rPr>
        <i/>
        <sz val="11"/>
        <color theme="1"/>
        <rFont val="Arial"/>
      </rPr>
      <t>- Aire</t>
    </r>
  </si>
  <si>
    <r>
      <rPr>
        <b/>
        <sz val="11"/>
        <color theme="1"/>
        <rFont val="Arial"/>
      </rPr>
      <t>Relación</t>
    </r>
    <r>
      <rPr>
        <sz val="11"/>
        <color theme="1"/>
        <rFont val="Arial"/>
      </rPr>
      <t xml:space="preserve"> - </t>
    </r>
    <r>
      <rPr>
        <i/>
        <sz val="11"/>
        <color theme="1"/>
        <rFont val="Arial"/>
      </rPr>
      <t>Agua</t>
    </r>
  </si>
  <si>
    <r>
      <rPr>
        <b/>
        <sz val="11"/>
        <color theme="1"/>
        <rFont val="Arial"/>
      </rPr>
      <t xml:space="preserve">Imagen </t>
    </r>
    <r>
      <rPr>
        <sz val="11"/>
        <color theme="1"/>
        <rFont val="Arial"/>
      </rPr>
      <t xml:space="preserve">- </t>
    </r>
    <r>
      <rPr>
        <i/>
        <sz val="11"/>
        <color theme="1"/>
        <rFont val="Arial"/>
      </rPr>
      <t>Tierra</t>
    </r>
  </si>
  <si>
    <r>
      <rPr>
        <b/>
        <sz val="11"/>
        <color theme="1"/>
        <rFont val="Arial"/>
      </rPr>
      <t>Fuerza</t>
    </r>
    <r>
      <rPr>
        <i/>
        <sz val="11"/>
        <color theme="1"/>
        <rFont val="Arial"/>
      </rPr>
      <t xml:space="preserve"> -Fuego</t>
    </r>
  </si>
  <si>
    <r>
      <rPr>
        <b/>
        <sz val="10"/>
        <color theme="1"/>
        <rFont val="Arial"/>
      </rPr>
      <t>Neutro (</t>
    </r>
    <r>
      <rPr>
        <b/>
        <u/>
        <sz val="10"/>
        <color theme="1"/>
        <rFont val="Arial"/>
      </rPr>
      <t>-</t>
    </r>
    <r>
      <rPr>
        <b/>
        <sz val="10"/>
        <color theme="1"/>
        <rFont val="Arial"/>
      </rPr>
      <t>)</t>
    </r>
  </si>
  <si>
    <t>Analítica: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</si>
</sst>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_ ;[Red]\-0.00\ "/>
  </numFmts>
  <fonts count="53" x14ac:knownFonts="1">
    <font>
      <sz val="10"/>
      <color rgb="FF000000"/>
      <name val="Arial"/>
      <scheme val="minor"/>
    </font>
    <font>
      <sz val="18"/>
      <color rgb="FF17365D"/>
      <name val="Arial"/>
    </font>
    <font>
      <sz val="10"/>
      <name val="Arial"/>
    </font>
    <font>
      <sz val="16"/>
      <color theme="1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i/>
      <sz val="12"/>
      <color rgb="FFFF0000"/>
      <name val="Arial"/>
    </font>
    <font>
      <i/>
      <sz val="10"/>
      <color theme="1"/>
      <name val="Arial"/>
    </font>
    <font>
      <sz val="5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2"/>
      <color theme="1"/>
      <name val="Arial"/>
    </font>
    <font>
      <b/>
      <sz val="11"/>
      <color rgb="FF000000"/>
      <name val="Calibri"/>
    </font>
    <font>
      <b/>
      <sz val="8"/>
      <color theme="1"/>
      <name val="Arial"/>
    </font>
    <font>
      <sz val="24"/>
      <color theme="1"/>
      <name val="Arial"/>
    </font>
    <font>
      <sz val="12"/>
      <color theme="1"/>
      <name val="Arial"/>
    </font>
    <font>
      <b/>
      <sz val="12"/>
      <color theme="1"/>
      <name val="Trebuchet MS"/>
    </font>
    <font>
      <sz val="10"/>
      <color theme="1"/>
      <name val="Trebuchet MS"/>
    </font>
    <font>
      <i/>
      <sz val="24"/>
      <color rgb="FF0070C0"/>
      <name val="Arial"/>
    </font>
    <font>
      <b/>
      <sz val="14"/>
      <color theme="1"/>
      <name val="Arial"/>
    </font>
    <font>
      <b/>
      <i/>
      <sz val="10"/>
      <color theme="1"/>
      <name val="Arial"/>
    </font>
    <font>
      <b/>
      <sz val="10"/>
      <color rgb="FF0070C0"/>
      <name val="Arial"/>
    </font>
    <font>
      <sz val="11"/>
      <color theme="1"/>
      <name val="Arial"/>
    </font>
    <font>
      <i/>
      <sz val="11"/>
      <color theme="1"/>
      <name val="Arial"/>
    </font>
    <font>
      <b/>
      <sz val="9"/>
      <color theme="1"/>
      <name val="Trebuchet MS"/>
    </font>
    <font>
      <b/>
      <sz val="10"/>
      <color rgb="FF00589A"/>
      <name val="Trebuchet MS"/>
    </font>
    <font>
      <b/>
      <i/>
      <sz val="11"/>
      <color rgb="FFCC0000"/>
      <name val="Trebuchet MS"/>
    </font>
    <font>
      <b/>
      <i/>
      <sz val="9"/>
      <color theme="1"/>
      <name val="Arial"/>
    </font>
    <font>
      <b/>
      <sz val="10"/>
      <color theme="1"/>
      <name val="Trebuchet MS"/>
    </font>
    <font>
      <u/>
      <sz val="10"/>
      <color rgb="FF0000FF"/>
      <name val="Trebuchet MS"/>
    </font>
    <font>
      <u/>
      <sz val="10"/>
      <color rgb="FF0000FF"/>
      <name val="Trebuchet MS"/>
    </font>
    <font>
      <b/>
      <i/>
      <sz val="11"/>
      <color rgb="FFFF0000"/>
      <name val="Arial"/>
    </font>
    <font>
      <b/>
      <i/>
      <sz val="12"/>
      <color rgb="FFCC0000"/>
      <name val="Trebuchet MS"/>
    </font>
    <font>
      <b/>
      <i/>
      <sz val="12"/>
      <color rgb="FF0070C0"/>
      <name val="Arial"/>
    </font>
    <font>
      <i/>
      <sz val="12"/>
      <color rgb="FF0070C0"/>
      <name val="Arial"/>
    </font>
    <font>
      <b/>
      <i/>
      <sz val="11"/>
      <color rgb="FF0070C0"/>
      <name val="Arial"/>
    </font>
    <font>
      <b/>
      <sz val="12"/>
      <color rgb="FFFF0000"/>
      <name val="Arial"/>
    </font>
    <font>
      <b/>
      <sz val="14"/>
      <color rgb="FFFF0000"/>
      <name val="Arial"/>
    </font>
    <font>
      <b/>
      <sz val="22"/>
      <color theme="1"/>
      <name val="Arial"/>
    </font>
    <font>
      <sz val="10"/>
      <color rgb="FF0070C0"/>
      <name val="Arial"/>
    </font>
    <font>
      <sz val="12"/>
      <color theme="1"/>
      <name val="Trebuchet MS"/>
    </font>
    <font>
      <u/>
      <sz val="10"/>
      <color rgb="FF0000FF"/>
      <name val="Arial"/>
    </font>
    <font>
      <sz val="18"/>
      <color rgb="FF000080"/>
      <name val="Arial"/>
    </font>
    <font>
      <i/>
      <sz val="14"/>
      <color rgb="FF000080"/>
      <name val="Arial"/>
    </font>
    <font>
      <b/>
      <u/>
      <sz val="10"/>
      <color rgb="FFFF0000"/>
      <name val="Arial"/>
    </font>
    <font>
      <b/>
      <u/>
      <sz val="10"/>
      <color theme="1"/>
      <name val="Arial"/>
    </font>
    <font>
      <b/>
      <u/>
      <sz val="11"/>
      <color rgb="FF000000"/>
      <name val="Arial"/>
    </font>
    <font>
      <b/>
      <sz val="11"/>
      <color rgb="FF000000"/>
      <name val="Arial"/>
    </font>
    <font>
      <b/>
      <sz val="11"/>
      <color rgb="FFFF0000"/>
      <name val="Arial"/>
    </font>
  </fonts>
  <fills count="35">
    <fill>
      <patternFill patternType="none"/>
    </fill>
    <fill>
      <patternFill patternType="gray125"/>
    </fill>
    <fill>
      <patternFill patternType="solid">
        <fgColor rgb="FF8FFF8F"/>
        <bgColor rgb="FF8FFF8F"/>
      </patternFill>
    </fill>
    <fill>
      <patternFill patternType="solid">
        <fgColor rgb="FFFFFF99"/>
        <bgColor rgb="FFFFFF99"/>
      </patternFill>
    </fill>
    <fill>
      <patternFill patternType="solid">
        <fgColor rgb="FFD6E3BC"/>
        <bgColor rgb="FFD6E3BC"/>
      </patternFill>
    </fill>
    <fill>
      <patternFill patternType="solid">
        <fgColor rgb="FFB9FFB9"/>
        <bgColor rgb="FFB9FFB9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EAF1DD"/>
        <bgColor rgb="FFEAF1DD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DBE5F1"/>
        <bgColor rgb="FFDBE5F1"/>
      </patternFill>
    </fill>
    <fill>
      <patternFill patternType="solid">
        <fgColor rgb="FF9FE6FF"/>
        <bgColor rgb="FF9FE6FF"/>
      </patternFill>
    </fill>
    <fill>
      <patternFill patternType="solid">
        <fgColor rgb="FFCFF9FD"/>
        <bgColor rgb="FFCFF9FD"/>
      </patternFill>
    </fill>
    <fill>
      <patternFill patternType="solid">
        <fgColor rgb="FF85DFFF"/>
        <bgColor rgb="FF85DFFF"/>
      </patternFill>
    </fill>
    <fill>
      <patternFill patternType="solid">
        <fgColor rgb="FF0DFF7A"/>
        <bgColor rgb="FF0DFF7A"/>
      </patternFill>
    </fill>
    <fill>
      <patternFill patternType="solid">
        <fgColor rgb="FFFD7777"/>
        <bgColor rgb="FFFD7777"/>
      </patternFill>
    </fill>
    <fill>
      <patternFill patternType="solid">
        <fgColor rgb="FFFFFF00"/>
        <bgColor rgb="FFFFFF00"/>
      </patternFill>
    </fill>
    <fill>
      <patternFill patternType="solid">
        <fgColor rgb="FF81FFBA"/>
        <bgColor rgb="FF81FFBA"/>
      </patternFill>
    </fill>
    <fill>
      <patternFill patternType="solid">
        <fgColor rgb="FFFFCCFF"/>
        <bgColor rgb="FFFFCCFF"/>
      </patternFill>
    </fill>
    <fill>
      <patternFill patternType="solid">
        <fgColor rgb="FFFFFFCC"/>
        <bgColor rgb="FFFFFFCC"/>
      </patternFill>
    </fill>
    <fill>
      <patternFill patternType="solid">
        <fgColor rgb="FFC6D9F0"/>
        <bgColor rgb="FFC6D9F0"/>
      </patternFill>
    </fill>
    <fill>
      <patternFill patternType="solid">
        <fgColor rgb="FFFF99FF"/>
        <bgColor rgb="FFFF99FF"/>
      </patternFill>
    </fill>
    <fill>
      <patternFill patternType="solid">
        <fgColor rgb="FFD5FAD2"/>
        <bgColor rgb="FFD5FAD2"/>
      </patternFill>
    </fill>
    <fill>
      <patternFill patternType="solid">
        <fgColor rgb="FFFF99CC"/>
        <bgColor rgb="FFFF99CC"/>
      </patternFill>
    </fill>
    <fill>
      <patternFill patternType="solid">
        <fgColor rgb="FFFFFFD5"/>
        <bgColor rgb="FFFFFFD5"/>
      </patternFill>
    </fill>
    <fill>
      <patternFill patternType="solid">
        <fgColor rgb="FFABD4D9"/>
        <bgColor rgb="FFABD4D9"/>
      </patternFill>
    </fill>
    <fill>
      <patternFill patternType="solid">
        <fgColor rgb="FFE8BAC2"/>
        <bgColor rgb="FFE8BAC2"/>
      </patternFill>
    </fill>
    <fill>
      <patternFill patternType="solid">
        <fgColor rgb="FFCC99FF"/>
        <bgColor rgb="FFCC99FF"/>
      </patternFill>
    </fill>
    <fill>
      <patternFill patternType="solid">
        <fgColor rgb="FFBBD3B5"/>
        <bgColor rgb="FFBBD3B5"/>
      </patternFill>
    </fill>
    <fill>
      <patternFill patternType="solid">
        <fgColor rgb="FF97F490"/>
        <bgColor rgb="FF97F490"/>
      </patternFill>
    </fill>
    <fill>
      <patternFill patternType="solid">
        <fgColor rgb="FFCCFFFF"/>
        <bgColor rgb="FFCCFFFF"/>
      </patternFill>
    </fill>
    <fill>
      <patternFill patternType="solid">
        <fgColor rgb="FFBAF1F4"/>
        <bgColor rgb="FFBAF1F4"/>
      </patternFill>
    </fill>
    <fill>
      <patternFill patternType="solid">
        <fgColor rgb="FF99FF99"/>
        <bgColor rgb="FF99FF99"/>
      </patternFill>
    </fill>
  </fills>
  <borders count="1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86">
    <xf numFmtId="0" fontId="0" fillId="0" borderId="0" xfId="0" applyFont="1" applyAlignment="1"/>
    <xf numFmtId="1" fontId="3" fillId="0" borderId="4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5" fillId="2" borderId="16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1" fontId="5" fillId="2" borderId="18" xfId="0" applyNumberFormat="1" applyFont="1" applyFill="1" applyBorder="1" applyAlignment="1">
      <alignment horizontal="center" vertical="center"/>
    </xf>
    <xf numFmtId="1" fontId="6" fillId="2" borderId="18" xfId="0" applyNumberFormat="1" applyFont="1" applyFill="1" applyBorder="1" applyAlignment="1">
      <alignment horizontal="left" vertical="center"/>
    </xf>
    <xf numFmtId="1" fontId="6" fillId="2" borderId="18" xfId="0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5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left" vertical="center"/>
    </xf>
    <xf numFmtId="0" fontId="5" fillId="5" borderId="26" xfId="0" applyFont="1" applyFill="1" applyBorder="1" applyAlignment="1">
      <alignment horizontal="center" vertical="center" wrapText="1"/>
    </xf>
    <xf numFmtId="0" fontId="9" fillId="0" borderId="0" xfId="0" applyFont="1"/>
    <xf numFmtId="0" fontId="10" fillId="2" borderId="39" xfId="0" applyFont="1" applyFill="1" applyBorder="1" applyAlignment="1">
      <alignment horizontal="right" vertical="center"/>
    </xf>
    <xf numFmtId="0" fontId="11" fillId="0" borderId="40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0" fillId="5" borderId="41" xfId="0" applyFont="1" applyFill="1" applyBorder="1" applyAlignment="1">
      <alignment horizontal="right" vertical="center"/>
    </xf>
    <xf numFmtId="0" fontId="10" fillId="2" borderId="41" xfId="0" applyFont="1" applyFill="1" applyBorder="1" applyAlignment="1">
      <alignment horizontal="right" vertical="center"/>
    </xf>
    <xf numFmtId="0" fontId="11" fillId="0" borderId="40" xfId="0" applyFont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right" vertical="center"/>
    </xf>
    <xf numFmtId="0" fontId="6" fillId="2" borderId="41" xfId="0" applyFont="1" applyFill="1" applyBorder="1" applyAlignment="1">
      <alignment vertical="top"/>
    </xf>
    <xf numFmtId="0" fontId="13" fillId="2" borderId="5" xfId="0" applyFont="1" applyFill="1" applyBorder="1" applyAlignment="1">
      <alignment horizontal="center"/>
    </xf>
    <xf numFmtId="0" fontId="6" fillId="2" borderId="5" xfId="0" applyFont="1" applyFill="1" applyBorder="1"/>
    <xf numFmtId="0" fontId="14" fillId="2" borderId="5" xfId="0" applyFont="1" applyFill="1" applyBorder="1" applyAlignment="1">
      <alignment horizontal="left"/>
    </xf>
    <xf numFmtId="0" fontId="6" fillId="2" borderId="43" xfId="0" applyFont="1" applyFill="1" applyBorder="1"/>
    <xf numFmtId="0" fontId="11" fillId="0" borderId="44" xfId="0" applyFont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right" vertical="center"/>
    </xf>
    <xf numFmtId="0" fontId="6" fillId="5" borderId="41" xfId="0" applyFont="1" applyFill="1" applyBorder="1" applyAlignment="1">
      <alignment vertical="top"/>
    </xf>
    <xf numFmtId="0" fontId="13" fillId="5" borderId="5" xfId="0" applyFont="1" applyFill="1" applyBorder="1" applyAlignment="1">
      <alignment horizontal="center"/>
    </xf>
    <xf numFmtId="0" fontId="6" fillId="5" borderId="5" xfId="0" applyFont="1" applyFill="1" applyBorder="1"/>
    <xf numFmtId="0" fontId="14" fillId="5" borderId="5" xfId="0" applyFont="1" applyFill="1" applyBorder="1" applyAlignment="1">
      <alignment horizontal="left"/>
    </xf>
    <xf numFmtId="0" fontId="6" fillId="5" borderId="43" xfId="0" applyFont="1" applyFill="1" applyBorder="1"/>
    <xf numFmtId="0" fontId="10" fillId="5" borderId="39" xfId="0" applyFont="1" applyFill="1" applyBorder="1" applyAlignment="1">
      <alignment horizontal="right" vertical="center"/>
    </xf>
    <xf numFmtId="0" fontId="16" fillId="9" borderId="47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6" fillId="0" borderId="0" xfId="0" applyFont="1" applyAlignment="1">
      <alignment vertical="top"/>
    </xf>
    <xf numFmtId="0" fontId="5" fillId="8" borderId="49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6" fillId="0" borderId="46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15" fillId="8" borderId="4" xfId="0" applyFont="1" applyFill="1" applyBorder="1" applyAlignment="1">
      <alignment horizontal="center"/>
    </xf>
    <xf numFmtId="0" fontId="13" fillId="0" borderId="48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10" borderId="5" xfId="0" applyFont="1" applyFill="1" applyBorder="1" applyAlignment="1">
      <alignment vertical="top"/>
    </xf>
    <xf numFmtId="0" fontId="6" fillId="10" borderId="5" xfId="0" applyFont="1" applyFill="1" applyBorder="1"/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/>
    <xf numFmtId="0" fontId="6" fillId="0" borderId="0" xfId="0" applyFont="1" applyAlignment="1">
      <alignment horizontal="left"/>
    </xf>
    <xf numFmtId="0" fontId="14" fillId="10" borderId="5" xfId="0" applyFont="1" applyFill="1" applyBorder="1" applyAlignment="1">
      <alignment vertical="top"/>
    </xf>
    <xf numFmtId="0" fontId="17" fillId="0" borderId="0" xfId="0" applyFont="1" applyAlignment="1">
      <alignment horizontal="center" vertical="center"/>
    </xf>
    <xf numFmtId="0" fontId="5" fillId="10" borderId="5" xfId="0" applyFont="1" applyFill="1" applyBorder="1" applyAlignment="1">
      <alignment horizontal="center"/>
    </xf>
    <xf numFmtId="164" fontId="5" fillId="10" borderId="5" xfId="0" applyNumberFormat="1" applyFont="1" applyFill="1" applyBorder="1" applyAlignment="1">
      <alignment horizontal="left" vertical="center"/>
    </xf>
    <xf numFmtId="0" fontId="13" fillId="10" borderId="5" xfId="0" applyFont="1" applyFill="1" applyBorder="1" applyAlignment="1">
      <alignment horizontal="right" vertical="center"/>
    </xf>
    <xf numFmtId="2" fontId="19" fillId="0" borderId="13" xfId="0" applyNumberFormat="1" applyFont="1" applyBorder="1"/>
    <xf numFmtId="0" fontId="21" fillId="10" borderId="5" xfId="0" applyFont="1" applyFill="1" applyBorder="1"/>
    <xf numFmtId="0" fontId="2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10" borderId="5" xfId="0" applyFont="1" applyFill="1" applyBorder="1" applyAlignment="1">
      <alignment horizontal="right"/>
    </xf>
    <xf numFmtId="1" fontId="5" fillId="10" borderId="5" xfId="0" applyNumberFormat="1" applyFont="1" applyFill="1" applyBorder="1" applyAlignment="1">
      <alignment horizontal="center"/>
    </xf>
    <xf numFmtId="0" fontId="11" fillId="5" borderId="60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61" xfId="0" applyFont="1" applyFill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10" fontId="5" fillId="0" borderId="44" xfId="0" applyNumberFormat="1" applyFont="1" applyBorder="1" applyAlignment="1">
      <alignment vertical="center"/>
    </xf>
    <xf numFmtId="2" fontId="15" fillId="13" borderId="64" xfId="0" applyNumberFormat="1" applyFont="1" applyFill="1" applyBorder="1"/>
    <xf numFmtId="1" fontId="15" fillId="10" borderId="65" xfId="0" applyNumberFormat="1" applyFont="1" applyFill="1" applyBorder="1" applyAlignment="1">
      <alignment horizontal="center" vertical="center"/>
    </xf>
    <xf numFmtId="1" fontId="15" fillId="10" borderId="66" xfId="0" applyNumberFormat="1" applyFont="1" applyFill="1" applyBorder="1" applyAlignment="1">
      <alignment horizontal="center" vertical="center"/>
    </xf>
    <xf numFmtId="0" fontId="5" fillId="5" borderId="67" xfId="0" applyFont="1" applyFill="1" applyBorder="1" applyAlignment="1">
      <alignment horizontal="right" vertical="center"/>
    </xf>
    <xf numFmtId="0" fontId="5" fillId="5" borderId="68" xfId="0" applyFont="1" applyFill="1" applyBorder="1" applyAlignment="1">
      <alignment horizontal="center" vertical="center"/>
    </xf>
    <xf numFmtId="0" fontId="11" fillId="5" borderId="74" xfId="0" applyFont="1" applyFill="1" applyBorder="1" applyAlignment="1">
      <alignment horizontal="center"/>
    </xf>
    <xf numFmtId="0" fontId="11" fillId="5" borderId="75" xfId="0" applyFont="1" applyFill="1" applyBorder="1" applyAlignment="1">
      <alignment horizontal="center"/>
    </xf>
    <xf numFmtId="0" fontId="11" fillId="5" borderId="76" xfId="0" applyFont="1" applyFill="1" applyBorder="1" applyAlignment="1">
      <alignment horizontal="center"/>
    </xf>
    <xf numFmtId="0" fontId="5" fillId="0" borderId="67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15" fillId="10" borderId="5" xfId="0" applyFont="1" applyFill="1" applyBorder="1" applyAlignment="1">
      <alignment horizontal="center"/>
    </xf>
    <xf numFmtId="165" fontId="5" fillId="0" borderId="62" xfId="0" applyNumberFormat="1" applyFont="1" applyBorder="1" applyAlignment="1">
      <alignment horizontal="center" vertical="center"/>
    </xf>
    <xf numFmtId="165" fontId="5" fillId="0" borderId="26" xfId="0" applyNumberFormat="1" applyFont="1" applyBorder="1" applyAlignment="1">
      <alignment horizontal="center" vertical="center"/>
    </xf>
    <xf numFmtId="165" fontId="5" fillId="0" borderId="66" xfId="0" applyNumberFormat="1" applyFont="1" applyBorder="1" applyAlignment="1">
      <alignment horizontal="center" vertical="center"/>
    </xf>
    <xf numFmtId="1" fontId="13" fillId="10" borderId="79" xfId="0" applyNumberFormat="1" applyFont="1" applyFill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5" fillId="5" borderId="60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61" xfId="0" applyFont="1" applyFill="1" applyBorder="1" applyAlignment="1">
      <alignment horizontal="center" vertical="center"/>
    </xf>
    <xf numFmtId="0" fontId="19" fillId="10" borderId="5" xfId="0" applyFont="1" applyFill="1" applyBorder="1"/>
    <xf numFmtId="0" fontId="9" fillId="10" borderId="60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61" xfId="0" applyFont="1" applyFill="1" applyBorder="1" applyAlignment="1">
      <alignment horizontal="center" vertical="center"/>
    </xf>
    <xf numFmtId="0" fontId="13" fillId="5" borderId="76" xfId="0" applyFont="1" applyFill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5" fillId="5" borderId="67" xfId="0" applyFont="1" applyFill="1" applyBorder="1" applyAlignment="1">
      <alignment horizontal="center" vertical="center"/>
    </xf>
    <xf numFmtId="0" fontId="5" fillId="5" borderId="88" xfId="0" applyFont="1" applyFill="1" applyBorder="1" applyAlignment="1">
      <alignment horizontal="center" vertical="center"/>
    </xf>
    <xf numFmtId="0" fontId="5" fillId="5" borderId="89" xfId="0" applyFont="1" applyFill="1" applyBorder="1" applyAlignment="1">
      <alignment horizontal="center" vertical="center"/>
    </xf>
    <xf numFmtId="0" fontId="6" fillId="10" borderId="60" xfId="0" applyFont="1" applyFill="1" applyBorder="1" applyAlignment="1">
      <alignment horizontal="center" vertical="center"/>
    </xf>
    <xf numFmtId="0" fontId="6" fillId="10" borderId="61" xfId="0" applyFont="1" applyFill="1" applyBorder="1" applyAlignment="1">
      <alignment horizontal="center" vertical="center"/>
    </xf>
    <xf numFmtId="0" fontId="6" fillId="10" borderId="4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7" fillId="18" borderId="95" xfId="0" applyFont="1" applyFill="1" applyBorder="1" applyAlignment="1">
      <alignment horizontal="center" vertical="center"/>
    </xf>
    <xf numFmtId="0" fontId="28" fillId="0" borderId="96" xfId="0" applyFont="1" applyBorder="1" applyAlignment="1">
      <alignment horizontal="center" vertical="center"/>
    </xf>
    <xf numFmtId="0" fontId="21" fillId="0" borderId="0" xfId="0" applyFont="1"/>
    <xf numFmtId="0" fontId="28" fillId="10" borderId="42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6" fillId="10" borderId="98" xfId="0" applyFont="1" applyFill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6" fillId="19" borderId="67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6" fillId="19" borderId="60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5" fillId="10" borderId="66" xfId="0" applyFont="1" applyFill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14" fillId="19" borderId="4" xfId="0" applyFont="1" applyFill="1" applyBorder="1" applyAlignment="1">
      <alignment horizontal="center" vertical="center"/>
    </xf>
    <xf numFmtId="9" fontId="13" fillId="0" borderId="61" xfId="0" applyNumberFormat="1" applyFont="1" applyBorder="1" applyAlignment="1">
      <alignment horizontal="center" vertical="center"/>
    </xf>
    <xf numFmtId="0" fontId="6" fillId="19" borderId="62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2" fillId="19" borderId="26" xfId="0" applyFont="1" applyFill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6" fillId="20" borderId="39" xfId="0" applyFont="1" applyFill="1" applyBorder="1" applyAlignment="1">
      <alignment horizontal="center" vertical="center"/>
    </xf>
    <xf numFmtId="0" fontId="6" fillId="13" borderId="39" xfId="0" applyFont="1" applyFill="1" applyBorder="1" applyAlignment="1">
      <alignment horizontal="center" vertical="center"/>
    </xf>
    <xf numFmtId="0" fontId="6" fillId="22" borderId="67" xfId="0" applyFont="1" applyFill="1" applyBorder="1" applyAlignment="1">
      <alignment horizontal="center" vertical="center"/>
    </xf>
    <xf numFmtId="0" fontId="5" fillId="20" borderId="60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20" borderId="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13" borderId="60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22" borderId="60" xfId="0" applyFont="1" applyFill="1" applyBorder="1" applyAlignment="1">
      <alignment horizontal="center" vertical="center"/>
    </xf>
    <xf numFmtId="0" fontId="12" fillId="22" borderId="4" xfId="0" applyFont="1" applyFill="1" applyBorder="1" applyAlignment="1">
      <alignment horizontal="center" vertical="center"/>
    </xf>
    <xf numFmtId="0" fontId="12" fillId="20" borderId="4" xfId="0" applyFont="1" applyFill="1" applyBorder="1" applyAlignment="1">
      <alignment vertical="center"/>
    </xf>
    <xf numFmtId="2" fontId="13" fillId="0" borderId="14" xfId="0" applyNumberFormat="1" applyFont="1" applyBorder="1" applyAlignment="1">
      <alignment horizontal="center" vertical="center"/>
    </xf>
    <xf numFmtId="0" fontId="12" fillId="13" borderId="4" xfId="0" applyFont="1" applyFill="1" applyBorder="1" applyAlignment="1">
      <alignment vertical="center"/>
    </xf>
    <xf numFmtId="2" fontId="13" fillId="0" borderId="61" xfId="0" applyNumberFormat="1" applyFont="1" applyBorder="1" applyAlignment="1">
      <alignment horizontal="center" vertical="center"/>
    </xf>
    <xf numFmtId="0" fontId="5" fillId="21" borderId="106" xfId="0" applyFont="1" applyFill="1" applyBorder="1" applyAlignment="1">
      <alignment horizontal="center" vertical="center"/>
    </xf>
    <xf numFmtId="0" fontId="12" fillId="21" borderId="4" xfId="0" applyFont="1" applyFill="1" applyBorder="1" applyAlignment="1">
      <alignment horizontal="center" vertical="center"/>
    </xf>
    <xf numFmtId="0" fontId="14" fillId="22" borderId="4" xfId="0" applyFont="1" applyFill="1" applyBorder="1" applyAlignment="1">
      <alignment horizontal="center" vertical="center"/>
    </xf>
    <xf numFmtId="0" fontId="14" fillId="20" borderId="4" xfId="0" applyFont="1" applyFill="1" applyBorder="1" applyAlignment="1">
      <alignment vertical="center"/>
    </xf>
    <xf numFmtId="9" fontId="13" fillId="0" borderId="14" xfId="0" applyNumberFormat="1" applyFont="1" applyBorder="1" applyAlignment="1">
      <alignment horizontal="center" vertical="center"/>
    </xf>
    <xf numFmtId="0" fontId="14" fillId="13" borderId="4" xfId="0" applyFont="1" applyFill="1" applyBorder="1" applyAlignment="1">
      <alignment vertical="center"/>
    </xf>
    <xf numFmtId="0" fontId="14" fillId="21" borderId="60" xfId="0" applyFont="1" applyFill="1" applyBorder="1" applyAlignment="1">
      <alignment horizontal="center" vertical="center"/>
    </xf>
    <xf numFmtId="0" fontId="6" fillId="22" borderId="62" xfId="0" applyFont="1" applyFill="1" applyBorder="1" applyAlignment="1">
      <alignment horizontal="center" vertical="center"/>
    </xf>
    <xf numFmtId="0" fontId="12" fillId="22" borderId="26" xfId="0" applyFont="1" applyFill="1" applyBorder="1" applyAlignment="1">
      <alignment horizontal="center" vertical="center"/>
    </xf>
    <xf numFmtId="0" fontId="5" fillId="20" borderId="62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2" fillId="20" borderId="26" xfId="0" applyFont="1" applyFill="1" applyBorder="1" applyAlignment="1">
      <alignment vertical="center"/>
    </xf>
    <xf numFmtId="0" fontId="11" fillId="10" borderId="66" xfId="0" applyFont="1" applyFill="1" applyBorder="1" applyAlignment="1">
      <alignment horizontal="center" vertical="center"/>
    </xf>
    <xf numFmtId="0" fontId="5" fillId="13" borderId="62" xfId="0" applyFont="1" applyFill="1" applyBorder="1" applyAlignment="1">
      <alignment horizontal="center" vertical="center"/>
    </xf>
    <xf numFmtId="0" fontId="6" fillId="10" borderId="107" xfId="0" applyFont="1" applyFill="1" applyBorder="1" applyAlignment="1">
      <alignment horizontal="center" vertical="center"/>
    </xf>
    <xf numFmtId="0" fontId="12" fillId="13" borderId="26" xfId="0" applyFont="1" applyFill="1" applyBorder="1" applyAlignment="1">
      <alignment vertical="center"/>
    </xf>
    <xf numFmtId="0" fontId="6" fillId="10" borderId="5" xfId="0" applyFont="1" applyFill="1" applyBorder="1" applyAlignment="1">
      <alignment vertical="center"/>
    </xf>
    <xf numFmtId="0" fontId="12" fillId="21" borderId="108" xfId="0" applyFont="1" applyFill="1" applyBorder="1" applyAlignment="1">
      <alignment horizontal="center" vertical="center"/>
    </xf>
    <xf numFmtId="0" fontId="11" fillId="10" borderId="79" xfId="0" applyFont="1" applyFill="1" applyBorder="1" applyAlignment="1">
      <alignment horizontal="center" vertical="center"/>
    </xf>
    <xf numFmtId="0" fontId="6" fillId="23" borderId="67" xfId="0" applyFont="1" applyFill="1" applyBorder="1" applyAlignment="1">
      <alignment horizontal="center" vertical="center"/>
    </xf>
    <xf numFmtId="0" fontId="6" fillId="23" borderId="60" xfId="0" applyFont="1" applyFill="1" applyBorder="1" applyAlignment="1">
      <alignment horizontal="center" vertical="center"/>
    </xf>
    <xf numFmtId="0" fontId="12" fillId="23" borderId="4" xfId="0" applyFont="1" applyFill="1" applyBorder="1" applyAlignment="1">
      <alignment horizontal="center" vertical="center"/>
    </xf>
    <xf numFmtId="0" fontId="14" fillId="23" borderId="4" xfId="0" applyFont="1" applyFill="1" applyBorder="1" applyAlignment="1">
      <alignment horizontal="center" vertical="center"/>
    </xf>
    <xf numFmtId="0" fontId="6" fillId="23" borderId="62" xfId="0" applyFont="1" applyFill="1" applyBorder="1" applyAlignment="1">
      <alignment horizontal="center" vertical="center"/>
    </xf>
    <xf numFmtId="0" fontId="12" fillId="23" borderId="26" xfId="0" applyFont="1" applyFill="1" applyBorder="1" applyAlignment="1">
      <alignment horizontal="center" vertical="center"/>
    </xf>
    <xf numFmtId="0" fontId="6" fillId="23" borderId="74" xfId="0" applyFont="1" applyFill="1" applyBorder="1" applyAlignment="1">
      <alignment horizontal="center" vertical="center"/>
    </xf>
    <xf numFmtId="0" fontId="6" fillId="25" borderId="75" xfId="0" applyFont="1" applyFill="1" applyBorder="1" applyAlignment="1">
      <alignment horizontal="center" vertical="center"/>
    </xf>
    <xf numFmtId="0" fontId="6" fillId="25" borderId="76" xfId="0" applyFont="1" applyFill="1" applyBorder="1" applyAlignment="1">
      <alignment horizontal="center" vertical="center"/>
    </xf>
    <xf numFmtId="0" fontId="6" fillId="19" borderId="74" xfId="0" applyFont="1" applyFill="1" applyBorder="1" applyAlignment="1">
      <alignment horizontal="center" vertical="center"/>
    </xf>
    <xf numFmtId="0" fontId="6" fillId="19" borderId="75" xfId="0" applyFont="1" applyFill="1" applyBorder="1" applyAlignment="1">
      <alignment horizontal="center" vertical="center"/>
    </xf>
    <xf numFmtId="0" fontId="6" fillId="19" borderId="76" xfId="0" applyFont="1" applyFill="1" applyBorder="1" applyAlignment="1">
      <alignment horizontal="center" vertical="center"/>
    </xf>
    <xf numFmtId="0" fontId="6" fillId="22" borderId="74" xfId="0" applyFont="1" applyFill="1" applyBorder="1" applyAlignment="1">
      <alignment horizontal="center" vertical="center"/>
    </xf>
    <xf numFmtId="0" fontId="6" fillId="22" borderId="75" xfId="0" applyFont="1" applyFill="1" applyBorder="1" applyAlignment="1">
      <alignment horizontal="center" vertical="center"/>
    </xf>
    <xf numFmtId="0" fontId="6" fillId="22" borderId="76" xfId="0" applyFont="1" applyFill="1" applyBorder="1" applyAlignment="1">
      <alignment horizontal="center" vertical="center"/>
    </xf>
    <xf numFmtId="0" fontId="24" fillId="25" borderId="114" xfId="0" applyFont="1" applyFill="1" applyBorder="1" applyAlignment="1">
      <alignment horizontal="center" vertical="center"/>
    </xf>
    <xf numFmtId="0" fontId="9" fillId="0" borderId="115" xfId="0" applyFont="1" applyBorder="1" applyAlignment="1">
      <alignment horizontal="center" vertical="center"/>
    </xf>
    <xf numFmtId="0" fontId="31" fillId="10" borderId="65" xfId="0" applyFont="1" applyFill="1" applyBorder="1" applyAlignment="1">
      <alignment horizontal="center" vertical="center"/>
    </xf>
    <xf numFmtId="0" fontId="24" fillId="19" borderId="114" xfId="0" applyFont="1" applyFill="1" applyBorder="1" applyAlignment="1">
      <alignment horizontal="center" vertical="center"/>
    </xf>
    <xf numFmtId="0" fontId="9" fillId="10" borderId="115" xfId="0" applyFont="1" applyFill="1" applyBorder="1" applyAlignment="1">
      <alignment horizontal="center" vertical="center"/>
    </xf>
    <xf numFmtId="0" fontId="24" fillId="22" borderId="114" xfId="0" applyFont="1" applyFill="1" applyBorder="1" applyAlignment="1">
      <alignment horizontal="center" vertical="center"/>
    </xf>
    <xf numFmtId="0" fontId="9" fillId="24" borderId="116" xfId="0" applyFont="1" applyFill="1" applyBorder="1" applyAlignment="1">
      <alignment horizontal="center" vertical="center"/>
    </xf>
    <xf numFmtId="10" fontId="5" fillId="24" borderId="42" xfId="0" applyNumberFormat="1" applyFont="1" applyFill="1" applyBorder="1"/>
    <xf numFmtId="0" fontId="11" fillId="24" borderId="79" xfId="0" applyFont="1" applyFill="1" applyBorder="1" applyAlignment="1">
      <alignment horizontal="center" vertical="center"/>
    </xf>
    <xf numFmtId="0" fontId="6" fillId="26" borderId="67" xfId="0" applyFont="1" applyFill="1" applyBorder="1" applyAlignment="1">
      <alignment horizontal="center" vertical="center"/>
    </xf>
    <xf numFmtId="0" fontId="9" fillId="24" borderId="117" xfId="0" applyFont="1" applyFill="1" applyBorder="1" applyAlignment="1">
      <alignment horizontal="center" vertical="center"/>
    </xf>
    <xf numFmtId="10" fontId="5" fillId="24" borderId="44" xfId="0" applyNumberFormat="1" applyFont="1" applyFill="1" applyBorder="1"/>
    <xf numFmtId="0" fontId="11" fillId="24" borderId="66" xfId="0" applyFont="1" applyFill="1" applyBorder="1" applyAlignment="1">
      <alignment horizontal="center" vertical="center"/>
    </xf>
    <xf numFmtId="0" fontId="6" fillId="26" borderId="60" xfId="0" applyFont="1" applyFill="1" applyBorder="1" applyAlignment="1">
      <alignment horizontal="center" vertical="center"/>
    </xf>
    <xf numFmtId="0" fontId="12" fillId="26" borderId="4" xfId="0" applyFont="1" applyFill="1" applyBorder="1" applyAlignment="1">
      <alignment horizontal="center" vertical="center"/>
    </xf>
    <xf numFmtId="0" fontId="14" fillId="26" borderId="4" xfId="0" applyFont="1" applyFill="1" applyBorder="1" applyAlignment="1">
      <alignment horizontal="center" vertical="center"/>
    </xf>
    <xf numFmtId="0" fontId="6" fillId="0" borderId="99" xfId="0" applyFont="1" applyBorder="1"/>
    <xf numFmtId="0" fontId="6" fillId="0" borderId="103" xfId="0" applyFont="1" applyBorder="1"/>
    <xf numFmtId="0" fontId="12" fillId="25" borderId="67" xfId="0" applyFont="1" applyFill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6" fillId="0" borderId="96" xfId="0" applyFont="1" applyBorder="1"/>
    <xf numFmtId="0" fontId="12" fillId="19" borderId="67" xfId="0" applyFont="1" applyFill="1" applyBorder="1" applyAlignment="1">
      <alignment horizontal="center" vertical="center"/>
    </xf>
    <xf numFmtId="0" fontId="12" fillId="22" borderId="67" xfId="0" applyFont="1" applyFill="1" applyBorder="1" applyAlignment="1">
      <alignment horizontal="center" vertical="center"/>
    </xf>
    <xf numFmtId="0" fontId="6" fillId="10" borderId="39" xfId="0" applyFont="1" applyFill="1" applyBorder="1"/>
    <xf numFmtId="0" fontId="6" fillId="10" borderId="118" xfId="0" applyFont="1" applyFill="1" applyBorder="1"/>
    <xf numFmtId="0" fontId="6" fillId="26" borderId="62" xfId="0" applyFont="1" applyFill="1" applyBorder="1" applyAlignment="1">
      <alignment horizontal="center" vertical="center"/>
    </xf>
    <xf numFmtId="0" fontId="12" fillId="26" borderId="26" xfId="0" applyFont="1" applyFill="1" applyBorder="1" applyAlignment="1">
      <alignment horizontal="center" vertical="center"/>
    </xf>
    <xf numFmtId="0" fontId="6" fillId="0" borderId="92" xfId="0" applyFont="1" applyBorder="1"/>
    <xf numFmtId="0" fontId="14" fillId="25" borderId="60" xfId="0" applyFont="1" applyFill="1" applyBorder="1" applyAlignment="1">
      <alignment horizontal="center" vertical="center"/>
    </xf>
    <xf numFmtId="0" fontId="12" fillId="0" borderId="119" xfId="0" applyFont="1" applyBorder="1" applyAlignment="1">
      <alignment horizontal="center" vertical="center"/>
    </xf>
    <xf numFmtId="0" fontId="14" fillId="19" borderId="6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22" borderId="60" xfId="0" applyFont="1" applyFill="1" applyBorder="1" applyAlignment="1">
      <alignment horizontal="center" vertical="center"/>
    </xf>
    <xf numFmtId="0" fontId="6" fillId="27" borderId="67" xfId="0" applyFont="1" applyFill="1" applyBorder="1" applyAlignment="1">
      <alignment horizontal="center" vertical="center"/>
    </xf>
    <xf numFmtId="0" fontId="12" fillId="25" borderId="62" xfId="0" applyFont="1" applyFill="1" applyBorder="1" applyAlignment="1">
      <alignment horizontal="center" vertical="center"/>
    </xf>
    <xf numFmtId="9" fontId="5" fillId="0" borderId="119" xfId="0" applyNumberFormat="1" applyFont="1" applyBorder="1" applyAlignment="1">
      <alignment horizontal="center"/>
    </xf>
    <xf numFmtId="0" fontId="12" fillId="19" borderId="62" xfId="0" applyFont="1" applyFill="1" applyBorder="1" applyAlignment="1">
      <alignment horizontal="center" vertical="center"/>
    </xf>
    <xf numFmtId="0" fontId="12" fillId="22" borderId="62" xfId="0" applyFont="1" applyFill="1" applyBorder="1" applyAlignment="1">
      <alignment horizontal="center" vertical="center"/>
    </xf>
    <xf numFmtId="9" fontId="5" fillId="10" borderId="41" xfId="0" applyNumberFormat="1" applyFont="1" applyFill="1" applyBorder="1" applyAlignment="1">
      <alignment horizontal="center"/>
    </xf>
    <xf numFmtId="0" fontId="6" fillId="27" borderId="60" xfId="0" applyFont="1" applyFill="1" applyBorder="1" applyAlignment="1">
      <alignment horizontal="center" vertical="center"/>
    </xf>
    <xf numFmtId="0" fontId="12" fillId="27" borderId="4" xfId="0" applyFont="1" applyFill="1" applyBorder="1" applyAlignment="1">
      <alignment horizontal="center" vertical="center"/>
    </xf>
    <xf numFmtId="0" fontId="14" fillId="27" borderId="4" xfId="0" applyFont="1" applyFill="1" applyBorder="1" applyAlignment="1">
      <alignment horizontal="center" vertical="center"/>
    </xf>
    <xf numFmtId="0" fontId="6" fillId="28" borderId="67" xfId="0" applyFont="1" applyFill="1" applyBorder="1" applyAlignment="1">
      <alignment horizontal="center" vertical="center"/>
    </xf>
    <xf numFmtId="0" fontId="6" fillId="29" borderId="67" xfId="0" applyFont="1" applyFill="1" applyBorder="1" applyAlignment="1">
      <alignment horizontal="center" vertical="center"/>
    </xf>
    <xf numFmtId="0" fontId="6" fillId="27" borderId="62" xfId="0" applyFont="1" applyFill="1" applyBorder="1" applyAlignment="1">
      <alignment horizontal="center" vertical="center"/>
    </xf>
    <xf numFmtId="0" fontId="12" fillId="27" borderId="26" xfId="0" applyFont="1" applyFill="1" applyBorder="1" applyAlignment="1">
      <alignment horizontal="center" vertical="center"/>
    </xf>
    <xf numFmtId="0" fontId="5" fillId="28" borderId="60" xfId="0" applyFont="1" applyFill="1" applyBorder="1" applyAlignment="1">
      <alignment horizontal="center" vertical="center"/>
    </xf>
    <xf numFmtId="0" fontId="12" fillId="28" borderId="4" xfId="0" applyFont="1" applyFill="1" applyBorder="1" applyAlignment="1">
      <alignment horizontal="center" vertical="center"/>
    </xf>
    <xf numFmtId="0" fontId="24" fillId="29" borderId="60" xfId="0" applyFont="1" applyFill="1" applyBorder="1" applyAlignment="1">
      <alignment horizontal="center" vertical="center"/>
    </xf>
    <xf numFmtId="0" fontId="12" fillId="29" borderId="4" xfId="0" applyFont="1" applyFill="1" applyBorder="1" applyAlignment="1">
      <alignment horizontal="center" vertical="center"/>
    </xf>
    <xf numFmtId="0" fontId="24" fillId="23" borderId="60" xfId="0" applyFont="1" applyFill="1" applyBorder="1" applyAlignment="1">
      <alignment horizontal="center" vertical="center"/>
    </xf>
    <xf numFmtId="0" fontId="6" fillId="30" borderId="67" xfId="0" applyFont="1" applyFill="1" applyBorder="1" applyAlignment="1">
      <alignment horizontal="center" vertical="center"/>
    </xf>
    <xf numFmtId="0" fontId="14" fillId="28" borderId="4" xfId="0" applyFont="1" applyFill="1" applyBorder="1" applyAlignment="1">
      <alignment horizontal="center" vertical="center"/>
    </xf>
    <xf numFmtId="0" fontId="14" fillId="29" borderId="4" xfId="0" applyFont="1" applyFill="1" applyBorder="1" applyAlignment="1">
      <alignment horizontal="center" vertical="center"/>
    </xf>
    <xf numFmtId="0" fontId="6" fillId="30" borderId="60" xfId="0" applyFont="1" applyFill="1" applyBorder="1" applyAlignment="1">
      <alignment horizontal="center" vertical="center"/>
    </xf>
    <xf numFmtId="0" fontId="12" fillId="30" borderId="4" xfId="0" applyFont="1" applyFill="1" applyBorder="1" applyAlignment="1">
      <alignment horizontal="center" vertical="center"/>
    </xf>
    <xf numFmtId="0" fontId="5" fillId="28" borderId="62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12" fillId="28" borderId="26" xfId="0" applyFont="1" applyFill="1" applyBorder="1" applyAlignment="1">
      <alignment horizontal="center" vertical="center"/>
    </xf>
    <xf numFmtId="0" fontId="24" fillId="29" borderId="62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2" fillId="29" borderId="26" xfId="0" applyFont="1" applyFill="1" applyBorder="1" applyAlignment="1">
      <alignment horizontal="center" vertical="center"/>
    </xf>
    <xf numFmtId="0" fontId="24" fillId="23" borderId="62" xfId="0" applyFont="1" applyFill="1" applyBorder="1" applyAlignment="1">
      <alignment horizontal="center" vertical="center"/>
    </xf>
    <xf numFmtId="0" fontId="14" fillId="30" borderId="4" xfId="0" applyFont="1" applyFill="1" applyBorder="1" applyAlignment="1">
      <alignment horizontal="center" vertical="center"/>
    </xf>
    <xf numFmtId="0" fontId="6" fillId="31" borderId="67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center"/>
    </xf>
    <xf numFmtId="0" fontId="6" fillId="32" borderId="67" xfId="0" applyFont="1" applyFill="1" applyBorder="1" applyAlignment="1">
      <alignment horizontal="center" vertical="center"/>
    </xf>
    <xf numFmtId="0" fontId="6" fillId="30" borderId="62" xfId="0" applyFont="1" applyFill="1" applyBorder="1" applyAlignment="1">
      <alignment horizontal="center" vertical="center"/>
    </xf>
    <xf numFmtId="0" fontId="12" fillId="30" borderId="26" xfId="0" applyFont="1" applyFill="1" applyBorder="1" applyAlignment="1">
      <alignment horizontal="center" vertical="center"/>
    </xf>
    <xf numFmtId="0" fontId="5" fillId="31" borderId="60" xfId="0" applyFont="1" applyFill="1" applyBorder="1" applyAlignment="1">
      <alignment horizontal="center" vertical="center"/>
    </xf>
    <xf numFmtId="0" fontId="12" fillId="31" borderId="4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24" fillId="32" borderId="60" xfId="0" applyFont="1" applyFill="1" applyBorder="1" applyAlignment="1">
      <alignment horizontal="center" vertical="center"/>
    </xf>
    <xf numFmtId="0" fontId="12" fillId="32" borderId="4" xfId="0" applyFont="1" applyFill="1" applyBorder="1" applyAlignment="1">
      <alignment horizontal="center" vertical="center"/>
    </xf>
    <xf numFmtId="0" fontId="14" fillId="31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2" borderId="4" xfId="0" applyFont="1" applyFill="1" applyBorder="1" applyAlignment="1">
      <alignment horizontal="center" vertical="center"/>
    </xf>
    <xf numFmtId="0" fontId="5" fillId="31" borderId="62" xfId="0" applyFont="1" applyFill="1" applyBorder="1" applyAlignment="1">
      <alignment horizontal="center" vertical="center"/>
    </xf>
    <xf numFmtId="0" fontId="12" fillId="31" borderId="26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24" fillId="32" borderId="62" xfId="0" applyFont="1" applyFill="1" applyBorder="1" applyAlignment="1">
      <alignment horizontal="center" vertical="center"/>
    </xf>
    <xf numFmtId="0" fontId="12" fillId="32" borderId="26" xfId="0" applyFont="1" applyFill="1" applyBorder="1" applyAlignment="1">
      <alignment horizontal="center" vertical="center"/>
    </xf>
    <xf numFmtId="0" fontId="17" fillId="5" borderId="67" xfId="0" applyFont="1" applyFill="1" applyBorder="1" applyAlignment="1">
      <alignment horizontal="center" vertical="center"/>
    </xf>
    <xf numFmtId="0" fontId="6" fillId="33" borderId="67" xfId="0" applyFont="1" applyFill="1" applyBorder="1" applyAlignment="1">
      <alignment horizontal="center" vertical="center"/>
    </xf>
    <xf numFmtId="0" fontId="6" fillId="24" borderId="67" xfId="0" applyFont="1" applyFill="1" applyBorder="1" applyAlignment="1">
      <alignment horizontal="center" vertical="center"/>
    </xf>
    <xf numFmtId="0" fontId="6" fillId="34" borderId="67" xfId="0" applyFont="1" applyFill="1" applyBorder="1" applyAlignment="1">
      <alignment horizontal="center" vertical="center"/>
    </xf>
    <xf numFmtId="165" fontId="17" fillId="0" borderId="62" xfId="0" applyNumberFormat="1" applyFont="1" applyBorder="1" applyAlignment="1">
      <alignment horizontal="center" vertical="center"/>
    </xf>
    <xf numFmtId="0" fontId="5" fillId="33" borderId="60" xfId="0" applyFont="1" applyFill="1" applyBorder="1" applyAlignment="1">
      <alignment horizontal="center" vertical="center"/>
    </xf>
    <xf numFmtId="0" fontId="12" fillId="33" borderId="4" xfId="0" applyFont="1" applyFill="1" applyBorder="1" applyAlignment="1">
      <alignment horizontal="center" vertical="center"/>
    </xf>
    <xf numFmtId="0" fontId="5" fillId="24" borderId="60" xfId="0" applyFont="1" applyFill="1" applyBorder="1" applyAlignment="1">
      <alignment horizontal="center" vertical="center"/>
    </xf>
    <xf numFmtId="0" fontId="12" fillId="24" borderId="4" xfId="0" applyFont="1" applyFill="1" applyBorder="1" applyAlignment="1">
      <alignment horizontal="center" vertical="center"/>
    </xf>
    <xf numFmtId="0" fontId="5" fillId="34" borderId="60" xfId="0" applyFont="1" applyFill="1" applyBorder="1" applyAlignment="1">
      <alignment horizontal="center" vertical="center"/>
    </xf>
    <xf numFmtId="0" fontId="12" fillId="34" borderId="4" xfId="0" applyFont="1" applyFill="1" applyBorder="1" applyAlignment="1">
      <alignment horizontal="center" vertical="center"/>
    </xf>
    <xf numFmtId="0" fontId="14" fillId="33" borderId="4" xfId="0" applyFont="1" applyFill="1" applyBorder="1" applyAlignment="1">
      <alignment horizontal="center" vertical="center"/>
    </xf>
    <xf numFmtId="0" fontId="14" fillId="24" borderId="4" xfId="0" applyFont="1" applyFill="1" applyBorder="1" applyAlignment="1">
      <alignment horizontal="center" vertical="center"/>
    </xf>
    <xf numFmtId="0" fontId="14" fillId="34" borderId="4" xfId="0" applyFont="1" applyFill="1" applyBorder="1" applyAlignment="1">
      <alignment horizontal="center" vertical="center"/>
    </xf>
    <xf numFmtId="0" fontId="5" fillId="33" borderId="62" xfId="0" applyFont="1" applyFill="1" applyBorder="1" applyAlignment="1">
      <alignment horizontal="center" vertical="center"/>
    </xf>
    <xf numFmtId="0" fontId="12" fillId="33" borderId="26" xfId="0" applyFont="1" applyFill="1" applyBorder="1" applyAlignment="1">
      <alignment horizontal="center" vertical="center"/>
    </xf>
    <xf numFmtId="0" fontId="5" fillId="24" borderId="62" xfId="0" applyFont="1" applyFill="1" applyBorder="1" applyAlignment="1">
      <alignment horizontal="center" vertical="center"/>
    </xf>
    <xf numFmtId="0" fontId="12" fillId="24" borderId="26" xfId="0" applyFont="1" applyFill="1" applyBorder="1" applyAlignment="1">
      <alignment horizontal="center" vertical="center"/>
    </xf>
    <xf numFmtId="0" fontId="5" fillId="34" borderId="62" xfId="0" applyFont="1" applyFill="1" applyBorder="1" applyAlignment="1">
      <alignment horizontal="center" vertical="center"/>
    </xf>
    <xf numFmtId="0" fontId="12" fillId="34" borderId="26" xfId="0" applyFont="1" applyFill="1" applyBorder="1" applyAlignment="1">
      <alignment horizontal="center" vertical="center"/>
    </xf>
    <xf numFmtId="0" fontId="16" fillId="5" borderId="77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10" borderId="5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25" fillId="0" borderId="13" xfId="0" applyFont="1" applyBorder="1" applyAlignment="1">
      <alignment horizontal="left"/>
    </xf>
    <xf numFmtId="0" fontId="6" fillId="19" borderId="124" xfId="0" applyFont="1" applyFill="1" applyBorder="1" applyAlignment="1">
      <alignment horizontal="center" vertical="center"/>
    </xf>
    <xf numFmtId="0" fontId="28" fillId="10" borderId="5" xfId="0" applyFont="1" applyFill="1" applyBorder="1" applyAlignment="1">
      <alignment horizontal="center" vertical="center"/>
    </xf>
    <xf numFmtId="0" fontId="38" fillId="9" borderId="41" xfId="0" applyFont="1" applyFill="1" applyBorder="1" applyAlignment="1">
      <alignment horizontal="center" vertical="center"/>
    </xf>
    <xf numFmtId="0" fontId="38" fillId="9" borderId="5" xfId="0" applyFont="1" applyFill="1" applyBorder="1" applyAlignment="1">
      <alignment horizontal="center" vertical="center"/>
    </xf>
    <xf numFmtId="0" fontId="37" fillId="9" borderId="5" xfId="0" applyFont="1" applyFill="1" applyBorder="1" applyAlignment="1">
      <alignment horizontal="center" vertical="center"/>
    </xf>
    <xf numFmtId="0" fontId="38" fillId="9" borderId="5" xfId="0" applyFont="1" applyFill="1" applyBorder="1"/>
    <xf numFmtId="0" fontId="38" fillId="9" borderId="43" xfId="0" applyFont="1" applyFill="1" applyBorder="1"/>
    <xf numFmtId="0" fontId="6" fillId="9" borderId="41" xfId="0" applyFont="1" applyFill="1" applyBorder="1" applyAlignment="1">
      <alignment vertical="top"/>
    </xf>
    <xf numFmtId="0" fontId="6" fillId="9" borderId="5" xfId="0" applyFont="1" applyFill="1" applyBorder="1" applyAlignment="1">
      <alignment vertical="center"/>
    </xf>
    <xf numFmtId="0" fontId="6" fillId="9" borderId="5" xfId="0" applyFont="1" applyFill="1" applyBorder="1"/>
    <xf numFmtId="0" fontId="6" fillId="9" borderId="43" xfId="0" applyFont="1" applyFill="1" applyBorder="1"/>
    <xf numFmtId="0" fontId="11" fillId="7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6" fillId="9" borderId="5" xfId="0" applyFont="1" applyFill="1" applyBorder="1" applyAlignment="1">
      <alignment vertical="top"/>
    </xf>
    <xf numFmtId="0" fontId="37" fillId="9" borderId="41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/>
    </xf>
    <xf numFmtId="0" fontId="37" fillId="9" borderId="5" xfId="0" applyFont="1" applyFill="1" applyBorder="1"/>
    <xf numFmtId="0" fontId="37" fillId="9" borderId="43" xfId="0" applyFont="1" applyFill="1" applyBorder="1"/>
    <xf numFmtId="1" fontId="6" fillId="9" borderId="5" xfId="0" applyNumberFormat="1" applyFont="1" applyFill="1" applyBorder="1" applyAlignment="1">
      <alignment horizontal="center"/>
    </xf>
    <xf numFmtId="0" fontId="6" fillId="9" borderId="116" xfId="0" applyFont="1" applyFill="1" applyBorder="1" applyAlignment="1">
      <alignment vertical="top"/>
    </xf>
    <xf numFmtId="0" fontId="6" fillId="9" borderId="126" xfId="0" applyFont="1" applyFill="1" applyBorder="1"/>
    <xf numFmtId="0" fontId="39" fillId="9" borderId="126" xfId="0" applyFont="1" applyFill="1" applyBorder="1" applyAlignment="1">
      <alignment horizontal="center"/>
    </xf>
    <xf numFmtId="0" fontId="6" fillId="9" borderId="126" xfId="0" applyFont="1" applyFill="1" applyBorder="1" applyAlignment="1">
      <alignment vertical="top"/>
    </xf>
    <xf numFmtId="0" fontId="6" fillId="9" borderId="64" xfId="0" applyFont="1" applyFill="1" applyBorder="1"/>
    <xf numFmtId="0" fontId="40" fillId="10" borderId="5" xfId="0" applyFont="1" applyFill="1" applyBorder="1" applyAlignment="1">
      <alignment horizontal="right" vertical="center"/>
    </xf>
    <xf numFmtId="1" fontId="6" fillId="0" borderId="56" xfId="0" applyNumberFormat="1" applyFont="1" applyBorder="1" applyAlignment="1">
      <alignment horizontal="center"/>
    </xf>
    <xf numFmtId="1" fontId="6" fillId="0" borderId="53" xfId="0" applyNumberFormat="1" applyFont="1" applyBorder="1" applyAlignment="1">
      <alignment horizontal="center"/>
    </xf>
    <xf numFmtId="49" fontId="18" fillId="10" borderId="5" xfId="0" applyNumberFormat="1" applyFont="1" applyFill="1" applyBorder="1" applyAlignment="1">
      <alignment horizontal="left" vertical="center" wrapText="1"/>
    </xf>
    <xf numFmtId="0" fontId="11" fillId="7" borderId="60" xfId="0" applyFont="1" applyFill="1" applyBorder="1" applyAlignment="1">
      <alignment horizontal="center" vertical="center"/>
    </xf>
    <xf numFmtId="0" fontId="11" fillId="7" borderId="6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7" borderId="74" xfId="0" applyFont="1" applyFill="1" applyBorder="1" applyAlignment="1">
      <alignment horizontal="center"/>
    </xf>
    <xf numFmtId="0" fontId="11" fillId="7" borderId="75" xfId="0" applyFont="1" applyFill="1" applyBorder="1" applyAlignment="1">
      <alignment horizontal="center"/>
    </xf>
    <xf numFmtId="0" fontId="11" fillId="7" borderId="76" xfId="0" applyFont="1" applyFill="1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7" borderId="60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61" xfId="0" applyFont="1" applyFill="1" applyBorder="1" applyAlignment="1">
      <alignment horizontal="center" vertical="center"/>
    </xf>
    <xf numFmtId="0" fontId="13" fillId="7" borderId="76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68" xfId="0" applyFont="1" applyFill="1" applyBorder="1" applyAlignment="1">
      <alignment horizontal="center" vertical="center"/>
    </xf>
    <xf numFmtId="0" fontId="5" fillId="7" borderId="88" xfId="0" applyFont="1" applyFill="1" applyBorder="1" applyAlignment="1">
      <alignment horizontal="center" vertical="center"/>
    </xf>
    <xf numFmtId="0" fontId="5" fillId="7" borderId="8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3" fillId="0" borderId="0" xfId="0" applyFont="1"/>
    <xf numFmtId="9" fontId="6" fillId="0" borderId="0" xfId="0" applyNumberFormat="1" applyFont="1" applyAlignment="1">
      <alignment vertical="top"/>
    </xf>
    <xf numFmtId="0" fontId="12" fillId="21" borderId="62" xfId="0" applyFont="1" applyFill="1" applyBorder="1" applyAlignment="1">
      <alignment horizontal="center" vertical="center"/>
    </xf>
    <xf numFmtId="0" fontId="17" fillId="7" borderId="67" xfId="0" applyFont="1" applyFill="1" applyBorder="1" applyAlignment="1">
      <alignment horizontal="center" vertical="center"/>
    </xf>
    <xf numFmtId="0" fontId="16" fillId="7" borderId="7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5" xfId="0" applyFont="1" applyBorder="1"/>
    <xf numFmtId="0" fontId="6" fillId="5" borderId="12" xfId="0" applyFont="1" applyFill="1" applyBorder="1" applyAlignment="1">
      <alignment horizontal="left" vertical="center" wrapText="1"/>
    </xf>
    <xf numFmtId="0" fontId="4" fillId="3" borderId="30" xfId="0" applyFont="1" applyFill="1" applyBorder="1" applyAlignment="1">
      <alignment vertical="top" wrapText="1"/>
    </xf>
    <xf numFmtId="0" fontId="2" fillId="0" borderId="31" xfId="0" applyFont="1" applyBorder="1"/>
    <xf numFmtId="0" fontId="2" fillId="0" borderId="32" xfId="0" applyFont="1" applyBorder="1"/>
    <xf numFmtId="0" fontId="5" fillId="3" borderId="33" xfId="0" applyFont="1" applyFill="1" applyBorder="1" applyAlignment="1">
      <alignment vertical="top" wrapText="1"/>
    </xf>
    <xf numFmtId="0" fontId="2" fillId="0" borderId="34" xfId="0" applyFont="1" applyBorder="1"/>
    <xf numFmtId="0" fontId="2" fillId="0" borderId="35" xfId="0" applyFont="1" applyBorder="1"/>
    <xf numFmtId="0" fontId="5" fillId="3" borderId="36" xfId="0" applyFont="1" applyFill="1" applyBorder="1" applyAlignment="1">
      <alignment vertical="top" wrapText="1"/>
    </xf>
    <xf numFmtId="0" fontId="2" fillId="0" borderId="37" xfId="0" applyFont="1" applyBorder="1"/>
    <xf numFmtId="0" fontId="2" fillId="0" borderId="38" xfId="0" applyFont="1" applyBorder="1"/>
    <xf numFmtId="0" fontId="6" fillId="2" borderId="6" xfId="0" applyFont="1" applyFill="1" applyBorder="1" applyAlignment="1">
      <alignment horizontal="left" vertical="center" wrapText="1"/>
    </xf>
    <xf numFmtId="0" fontId="2" fillId="0" borderId="9" xfId="0" applyFont="1" applyBorder="1"/>
    <xf numFmtId="0" fontId="2" fillId="0" borderId="10" xfId="0" applyFont="1" applyBorder="1"/>
    <xf numFmtId="0" fontId="6" fillId="2" borderId="45" xfId="0" applyFont="1" applyFill="1" applyBorder="1" applyAlignment="1">
      <alignment horizontal="left" vertical="center" wrapText="1"/>
    </xf>
    <xf numFmtId="0" fontId="2" fillId="0" borderId="28" xfId="0" applyFont="1" applyBorder="1"/>
    <xf numFmtId="0" fontId="2" fillId="0" borderId="29" xfId="0" applyFont="1" applyBorder="1"/>
    <xf numFmtId="0" fontId="6" fillId="5" borderId="45" xfId="0" applyFont="1" applyFill="1" applyBorder="1" applyAlignment="1">
      <alignment horizontal="left" vertical="center" wrapText="1"/>
    </xf>
    <xf numFmtId="0" fontId="6" fillId="3" borderId="30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/>
    </xf>
    <xf numFmtId="0" fontId="6" fillId="5" borderId="27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vertical="center" wrapText="1"/>
    </xf>
    <xf numFmtId="0" fontId="2" fillId="0" borderId="13" xfId="0" applyFont="1" applyBorder="1"/>
    <xf numFmtId="0" fontId="3" fillId="0" borderId="14" xfId="0" applyFont="1" applyBorder="1" applyAlignment="1">
      <alignment horizontal="left" vertical="center"/>
    </xf>
    <xf numFmtId="0" fontId="5" fillId="2" borderId="20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6" fillId="5" borderId="14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3" borderId="30" xfId="0" applyFont="1" applyFill="1" applyBorder="1" applyAlignment="1">
      <alignment vertical="center" wrapText="1"/>
    </xf>
    <xf numFmtId="0" fontId="6" fillId="3" borderId="33" xfId="0" applyFont="1" applyFill="1" applyBorder="1" applyAlignment="1">
      <alignment vertical="center" wrapText="1"/>
    </xf>
    <xf numFmtId="0" fontId="6" fillId="3" borderId="36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 wrapText="1"/>
    </xf>
    <xf numFmtId="0" fontId="2" fillId="0" borderId="7" xfId="0" applyFont="1" applyBorder="1"/>
    <xf numFmtId="164" fontId="3" fillId="0" borderId="8" xfId="0" applyNumberFormat="1" applyFont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vertical="center" wrapText="1"/>
    </xf>
    <xf numFmtId="164" fontId="3" fillId="0" borderId="14" xfId="0" applyNumberFormat="1" applyFont="1" applyBorder="1" applyAlignment="1">
      <alignment horizontal="center" vertical="center"/>
    </xf>
    <xf numFmtId="0" fontId="24" fillId="24" borderId="1" xfId="0" applyFont="1" applyFill="1" applyBorder="1" applyAlignment="1">
      <alignment horizontal="center" vertical="center"/>
    </xf>
    <xf numFmtId="0" fontId="2" fillId="0" borderId="113" xfId="0" applyFont="1" applyBorder="1"/>
    <xf numFmtId="0" fontId="5" fillId="27" borderId="6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5" fillId="28" borderId="8" xfId="0" applyFont="1" applyFill="1" applyBorder="1" applyAlignment="1">
      <alignment horizontal="center" vertical="center" wrapText="1"/>
    </xf>
    <xf numFmtId="0" fontId="5" fillId="30" borderId="30" xfId="0" applyFont="1" applyFill="1" applyBorder="1" applyAlignment="1">
      <alignment horizontal="center" vertical="center"/>
    </xf>
    <xf numFmtId="0" fontId="5" fillId="29" borderId="8" xfId="0" applyFon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0" fontId="5" fillId="31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2" borderId="8" xfId="0" applyFont="1" applyFill="1" applyBorder="1" applyAlignment="1">
      <alignment horizontal="center" vertical="center" wrapText="1"/>
    </xf>
    <xf numFmtId="0" fontId="23" fillId="5" borderId="30" xfId="0" applyFont="1" applyFill="1" applyBorder="1" applyAlignment="1">
      <alignment horizontal="center" vertical="center"/>
    </xf>
    <xf numFmtId="0" fontId="11" fillId="0" borderId="102" xfId="0" applyFont="1" applyBorder="1" applyAlignment="1">
      <alignment horizontal="center" vertical="center" wrapText="1"/>
    </xf>
    <xf numFmtId="0" fontId="2" fillId="0" borderId="99" xfId="0" applyFont="1" applyBorder="1"/>
    <xf numFmtId="0" fontId="2" fillId="0" borderId="103" xfId="0" applyFont="1" applyBorder="1"/>
    <xf numFmtId="0" fontId="2" fillId="0" borderId="81" xfId="0" applyFont="1" applyBorder="1"/>
    <xf numFmtId="0" fontId="2" fillId="0" borderId="82" xfId="0" applyFont="1" applyBorder="1"/>
    <xf numFmtId="0" fontId="2" fillId="0" borderId="94" xfId="0" applyFont="1" applyBorder="1"/>
    <xf numFmtId="0" fontId="5" fillId="34" borderId="8" xfId="0" applyFont="1" applyFill="1" applyBorder="1" applyAlignment="1">
      <alignment horizontal="center" vertical="center"/>
    </xf>
    <xf numFmtId="0" fontId="3" fillId="10" borderId="58" xfId="0" applyFont="1" applyFill="1" applyBorder="1" applyAlignment="1">
      <alignment horizontal="center" vertical="center"/>
    </xf>
    <xf numFmtId="0" fontId="2" fillId="0" borderId="59" xfId="0" applyFont="1" applyBorder="1"/>
    <xf numFmtId="0" fontId="13" fillId="5" borderId="1" xfId="0" applyFont="1" applyFill="1" applyBorder="1" applyAlignment="1">
      <alignment horizontal="center" vertical="center"/>
    </xf>
    <xf numFmtId="0" fontId="15" fillId="13" borderId="36" xfId="0" applyFont="1" applyFill="1" applyBorder="1" applyAlignment="1">
      <alignment horizontal="center" vertical="center" wrapText="1"/>
    </xf>
    <xf numFmtId="0" fontId="2" fillId="0" borderId="63" xfId="0" applyFont="1" applyBorder="1"/>
    <xf numFmtId="0" fontId="26" fillId="5" borderId="6" xfId="0" applyFont="1" applyFill="1" applyBorder="1" applyAlignment="1">
      <alignment horizontal="right" vertical="center" wrapText="1"/>
    </xf>
    <xf numFmtId="0" fontId="26" fillId="5" borderId="12" xfId="0" applyFont="1" applyFill="1" applyBorder="1" applyAlignment="1">
      <alignment horizontal="right" vertical="center"/>
    </xf>
    <xf numFmtId="0" fontId="26" fillId="5" borderId="45" xfId="0" applyFont="1" applyFill="1" applyBorder="1" applyAlignment="1">
      <alignment horizontal="right" vertical="center"/>
    </xf>
    <xf numFmtId="0" fontId="2" fillId="0" borderId="69" xfId="0" applyFont="1" applyBorder="1"/>
    <xf numFmtId="0" fontId="15" fillId="5" borderId="6" xfId="0" applyFont="1" applyFill="1" applyBorder="1" applyAlignment="1">
      <alignment horizontal="center"/>
    </xf>
    <xf numFmtId="49" fontId="18" fillId="10" borderId="58" xfId="0" applyNumberFormat="1" applyFont="1" applyFill="1" applyBorder="1" applyAlignment="1">
      <alignment horizontal="left" vertical="center" wrapText="1"/>
    </xf>
    <xf numFmtId="0" fontId="23" fillId="5" borderId="6" xfId="0" applyFont="1" applyFill="1" applyBorder="1" applyAlignment="1">
      <alignment horizontal="center" vertical="center"/>
    </xf>
    <xf numFmtId="164" fontId="5" fillId="10" borderId="58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center"/>
    </xf>
    <xf numFmtId="0" fontId="0" fillId="0" borderId="0" xfId="0" applyFont="1" applyAlignment="1"/>
    <xf numFmtId="0" fontId="5" fillId="0" borderId="1" xfId="0" applyFont="1" applyBorder="1" applyAlignment="1">
      <alignment horizontal="center" wrapText="1"/>
    </xf>
    <xf numFmtId="0" fontId="5" fillId="0" borderId="52" xfId="0" applyFont="1" applyBorder="1" applyAlignment="1">
      <alignment horizontal="left" vertical="center" wrapText="1"/>
    </xf>
    <xf numFmtId="0" fontId="2" fillId="0" borderId="53" xfId="0" applyFont="1" applyBorder="1"/>
    <xf numFmtId="0" fontId="2" fillId="0" borderId="55" xfId="0" applyFont="1" applyBorder="1"/>
    <xf numFmtId="0" fontId="2" fillId="0" borderId="56" xfId="0" applyFont="1" applyBorder="1"/>
    <xf numFmtId="0" fontId="2" fillId="0" borderId="57" xfId="0" applyFont="1" applyBorder="1"/>
    <xf numFmtId="0" fontId="5" fillId="0" borderId="71" xfId="0" applyFont="1" applyBorder="1" applyAlignment="1">
      <alignment horizontal="center" vertical="center" wrapText="1"/>
    </xf>
    <xf numFmtId="0" fontId="2" fillId="0" borderId="73" xfId="0" applyFont="1" applyBorder="1"/>
    <xf numFmtId="164" fontId="5" fillId="10" borderId="58" xfId="0" applyNumberFormat="1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0" fontId="15" fillId="5" borderId="8" xfId="0" applyFont="1" applyFill="1" applyBorder="1" applyAlignment="1">
      <alignment horizontal="center" vertical="center"/>
    </xf>
    <xf numFmtId="0" fontId="11" fillId="5" borderId="70" xfId="0" applyFont="1" applyFill="1" applyBorder="1" applyAlignment="1">
      <alignment horizontal="center" vertical="center" wrapText="1"/>
    </xf>
    <xf numFmtId="0" fontId="2" fillId="0" borderId="72" xfId="0" applyFont="1" applyBorder="1"/>
    <xf numFmtId="0" fontId="2" fillId="0" borderId="80" xfId="0" applyFont="1" applyBorder="1"/>
    <xf numFmtId="0" fontId="2" fillId="0" borderId="83" xfId="0" applyFont="1" applyBorder="1"/>
    <xf numFmtId="0" fontId="13" fillId="5" borderId="36" xfId="0" applyFont="1" applyFill="1" applyBorder="1" applyAlignment="1">
      <alignment vertical="center"/>
    </xf>
    <xf numFmtId="0" fontId="2" fillId="0" borderId="78" xfId="0" applyFont="1" applyBorder="1"/>
    <xf numFmtId="0" fontId="15" fillId="5" borderId="6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13" fillId="5" borderId="84" xfId="0" applyFont="1" applyFill="1" applyBorder="1" applyAlignment="1">
      <alignment horizontal="center" vertical="center"/>
    </xf>
    <xf numFmtId="0" fontId="2" fillId="0" borderId="85" xfId="0" applyFont="1" applyBorder="1"/>
    <xf numFmtId="0" fontId="13" fillId="5" borderId="86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/>
    </xf>
    <xf numFmtId="0" fontId="16" fillId="9" borderId="8" xfId="0" applyFont="1" applyFill="1" applyBorder="1" applyAlignment="1">
      <alignment horizontal="center" vertical="center"/>
    </xf>
    <xf numFmtId="0" fontId="6" fillId="8" borderId="46" xfId="0" applyFont="1" applyFill="1" applyBorder="1" applyAlignment="1">
      <alignment horizontal="center" textRotation="90"/>
    </xf>
    <xf numFmtId="0" fontId="2" fillId="0" borderId="48" xfId="0" applyFont="1" applyBorder="1"/>
    <xf numFmtId="0" fontId="16" fillId="10" borderId="14" xfId="0" applyFont="1" applyFill="1" applyBorder="1" applyAlignment="1">
      <alignment horizontal="center" vertical="top" wrapText="1"/>
    </xf>
    <xf numFmtId="0" fontId="5" fillId="8" borderId="14" xfId="0" applyFont="1" applyFill="1" applyBorder="1" applyAlignment="1">
      <alignment horizontal="center" vertical="center"/>
    </xf>
    <xf numFmtId="0" fontId="17" fillId="8" borderId="5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8" borderId="52" xfId="0" applyFont="1" applyFill="1" applyBorder="1" applyAlignment="1">
      <alignment horizontal="left" vertical="center" wrapText="1"/>
    </xf>
    <xf numFmtId="0" fontId="2" fillId="0" borderId="54" xfId="0" applyFont="1" applyBorder="1"/>
    <xf numFmtId="0" fontId="15" fillId="0" borderId="46" xfId="0" applyFont="1" applyBorder="1" applyAlignment="1">
      <alignment horizontal="center" vertical="center"/>
    </xf>
    <xf numFmtId="0" fontId="2" fillId="0" borderId="51" xfId="0" applyFont="1" applyBorder="1"/>
    <xf numFmtId="164" fontId="5" fillId="10" borderId="58" xfId="0" applyNumberFormat="1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10" borderId="84" xfId="0" applyFont="1" applyFill="1" applyBorder="1" applyAlignment="1">
      <alignment horizontal="center" vertical="center"/>
    </xf>
    <xf numFmtId="0" fontId="11" fillId="10" borderId="86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 wrapText="1"/>
    </xf>
    <xf numFmtId="0" fontId="2" fillId="0" borderId="90" xfId="0" applyFont="1" applyBorder="1"/>
    <xf numFmtId="0" fontId="2" fillId="0" borderId="92" xfId="0" applyFont="1" applyBorder="1"/>
    <xf numFmtId="0" fontId="5" fillId="10" borderId="91" xfId="0" applyFont="1" applyFill="1" applyBorder="1" applyAlignment="1">
      <alignment horizontal="center" vertical="center"/>
    </xf>
    <xf numFmtId="0" fontId="2" fillId="0" borderId="93" xfId="0" applyFont="1" applyBorder="1"/>
    <xf numFmtId="0" fontId="5" fillId="10" borderId="12" xfId="0" applyFont="1" applyFill="1" applyBorder="1" applyAlignment="1">
      <alignment horizontal="center" vertical="center"/>
    </xf>
    <xf numFmtId="0" fontId="13" fillId="14" borderId="45" xfId="0" applyFont="1" applyFill="1" applyBorder="1" applyAlignment="1">
      <alignment horizontal="center" vertical="center"/>
    </xf>
    <xf numFmtId="0" fontId="13" fillId="15" borderId="45" xfId="0" applyFont="1" applyFill="1" applyBorder="1" applyAlignment="1">
      <alignment horizontal="center" vertical="center"/>
    </xf>
    <xf numFmtId="0" fontId="13" fillId="16" borderId="45" xfId="0" applyFont="1" applyFill="1" applyBorder="1" applyAlignment="1">
      <alignment horizontal="center" vertical="center"/>
    </xf>
    <xf numFmtId="0" fontId="13" fillId="17" borderId="45" xfId="0" applyFont="1" applyFill="1" applyBorder="1" applyAlignment="1">
      <alignment horizontal="center" vertical="center"/>
    </xf>
    <xf numFmtId="0" fontId="11" fillId="10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0" borderId="8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 wrapText="1"/>
    </xf>
    <xf numFmtId="0" fontId="6" fillId="21" borderId="101" xfId="0" applyFont="1" applyFill="1" applyBorder="1" applyAlignment="1">
      <alignment horizontal="center" vertical="center"/>
    </xf>
    <xf numFmtId="0" fontId="2" fillId="0" borderId="104" xfId="0" applyFont="1" applyBorder="1"/>
    <xf numFmtId="0" fontId="5" fillId="21" borderId="102" xfId="0" applyFont="1" applyFill="1" applyBorder="1" applyAlignment="1">
      <alignment horizontal="center" vertical="center"/>
    </xf>
    <xf numFmtId="0" fontId="2" fillId="0" borderId="105" xfId="0" applyFont="1" applyBorder="1"/>
    <xf numFmtId="0" fontId="11" fillId="10" borderId="36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0" borderId="100" xfId="0" applyFont="1" applyBorder="1"/>
    <xf numFmtId="0" fontId="2" fillId="0" borderId="97" xfId="0" applyFont="1" applyBorder="1"/>
    <xf numFmtId="0" fontId="11" fillId="0" borderId="96" xfId="0" applyFont="1" applyBorder="1" applyAlignment="1">
      <alignment horizontal="center" vertical="center" wrapText="1"/>
    </xf>
    <xf numFmtId="0" fontId="2" fillId="0" borderId="40" xfId="0" applyFont="1" applyBorder="1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" fillId="22" borderId="8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 wrapText="1"/>
    </xf>
    <xf numFmtId="0" fontId="5" fillId="26" borderId="8" xfId="0" applyFont="1" applyFill="1" applyBorder="1" applyAlignment="1">
      <alignment horizontal="center" vertical="center"/>
    </xf>
    <xf numFmtId="0" fontId="5" fillId="24" borderId="109" xfId="0" applyFont="1" applyFill="1" applyBorder="1" applyAlignment="1">
      <alignment horizontal="center" vertical="center" wrapText="1"/>
    </xf>
    <xf numFmtId="0" fontId="5" fillId="25" borderId="110" xfId="0" applyFont="1" applyFill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5" fillId="19" borderId="110" xfId="0" applyFont="1" applyFill="1" applyBorder="1" applyAlignment="1">
      <alignment horizontal="center" vertical="center"/>
    </xf>
    <xf numFmtId="0" fontId="5" fillId="22" borderId="110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center" vertical="center" textRotation="90" wrapText="1"/>
    </xf>
    <xf numFmtId="0" fontId="2" fillId="0" borderId="122" xfId="0" applyFont="1" applyBorder="1"/>
    <xf numFmtId="0" fontId="16" fillId="0" borderId="46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5" fillId="33" borderId="8" xfId="0" applyFont="1" applyFill="1" applyBorder="1" applyAlignment="1">
      <alignment horizontal="center" vertical="center"/>
    </xf>
    <xf numFmtId="0" fontId="5" fillId="24" borderId="8" xfId="0" applyFont="1" applyFill="1" applyBorder="1" applyAlignment="1">
      <alignment horizontal="center" vertical="center"/>
    </xf>
    <xf numFmtId="0" fontId="23" fillId="5" borderId="120" xfId="0" applyFont="1" applyFill="1" applyBorder="1" applyAlignment="1">
      <alignment horizontal="center" vertical="center" textRotation="90" wrapText="1"/>
    </xf>
    <xf numFmtId="0" fontId="2" fillId="0" borderId="121" xfId="0" applyFont="1" applyBorder="1"/>
    <xf numFmtId="0" fontId="5" fillId="19" borderId="125" xfId="0" applyFont="1" applyFill="1" applyBorder="1" applyAlignment="1">
      <alignment horizontal="center" vertical="center"/>
    </xf>
    <xf numFmtId="0" fontId="35" fillId="18" borderId="109" xfId="0" applyFont="1" applyFill="1" applyBorder="1" applyAlignment="1">
      <alignment horizontal="center" vertical="top" wrapText="1"/>
    </xf>
    <xf numFmtId="164" fontId="5" fillId="10" borderId="14" xfId="0" applyNumberFormat="1" applyFont="1" applyFill="1" applyBorder="1" applyAlignment="1">
      <alignment horizontal="center"/>
    </xf>
    <xf numFmtId="0" fontId="2" fillId="0" borderId="123" xfId="0" applyFont="1" applyBorder="1"/>
    <xf numFmtId="0" fontId="19" fillId="5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9" borderId="30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164" fontId="41" fillId="10" borderId="58" xfId="0" applyNumberFormat="1" applyFont="1" applyFill="1" applyBorder="1" applyAlignment="1">
      <alignment horizontal="center" vertical="center"/>
    </xf>
    <xf numFmtId="0" fontId="37" fillId="9" borderId="33" xfId="0" applyFont="1" applyFill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1" fontId="18" fillId="10" borderId="58" xfId="0" applyNumberFormat="1" applyFont="1" applyFill="1" applyBorder="1" applyAlignment="1">
      <alignment horizontal="left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26" fillId="7" borderId="6" xfId="0" applyFont="1" applyFill="1" applyBorder="1" applyAlignment="1">
      <alignment horizontal="right" vertical="center" wrapText="1"/>
    </xf>
    <xf numFmtId="0" fontId="26" fillId="7" borderId="12" xfId="0" applyFont="1" applyFill="1" applyBorder="1" applyAlignment="1">
      <alignment horizontal="right" vertical="center"/>
    </xf>
    <xf numFmtId="0" fontId="26" fillId="7" borderId="45" xfId="0" applyFont="1" applyFill="1" applyBorder="1" applyAlignment="1">
      <alignment horizontal="right" vertical="center"/>
    </xf>
    <xf numFmtId="0" fontId="15" fillId="7" borderId="6" xfId="0" applyFont="1" applyFill="1" applyBorder="1" applyAlignment="1">
      <alignment horizontal="center"/>
    </xf>
    <xf numFmtId="0" fontId="13" fillId="7" borderId="36" xfId="0" applyFont="1" applyFill="1" applyBorder="1" applyAlignment="1">
      <alignment vertical="center"/>
    </xf>
    <xf numFmtId="0" fontId="15" fillId="7" borderId="6" xfId="0" applyFont="1" applyFill="1" applyBorder="1" applyAlignment="1">
      <alignment horizontal="center" vertical="center"/>
    </xf>
    <xf numFmtId="164" fontId="40" fillId="10" borderId="58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5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3" fillId="7" borderId="6" xfId="0" applyFont="1" applyFill="1" applyBorder="1" applyAlignment="1">
      <alignment horizontal="center" vertical="center"/>
    </xf>
    <xf numFmtId="0" fontId="13" fillId="7" borderId="84" xfId="0" applyFont="1" applyFill="1" applyBorder="1" applyAlignment="1">
      <alignment horizontal="center" vertical="center"/>
    </xf>
    <xf numFmtId="0" fontId="13" fillId="7" borderId="86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 wrapText="1"/>
    </xf>
    <xf numFmtId="0" fontId="23" fillId="7" borderId="30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5" fillId="7" borderId="36" xfId="0" applyFont="1" applyFill="1" applyBorder="1" applyAlignment="1">
      <alignment horizontal="center" vertical="center" wrapText="1"/>
    </xf>
    <xf numFmtId="0" fontId="23" fillId="7" borderId="12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Arial"/>
              </a:defRPr>
            </a:pPr>
            <a:r>
              <a:rPr sz="1100" b="1" i="0">
                <a:solidFill>
                  <a:srgbClr val="000000"/>
                </a:solidFill>
                <a:latin typeface="Arial"/>
              </a:rPr>
              <a:t>Gráfico de Dispersión de Atributos respecto de la Media: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6312306761111688E-2"/>
          <c:y val="0.18780999910263568"/>
          <c:w val="0.88843817991460139"/>
          <c:h val="0.5852196710746355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'PLANILLA PARA EL FORMADOR'!$B$179:$J$179</c:f>
              <c:numCache>
                <c:formatCode>0.00_ ;[Red]\-0.00\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EC-4158-B6B8-E0FDE725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057479"/>
        <c:axId val="797119905"/>
      </c:barChart>
      <c:catAx>
        <c:axId val="592057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797119905"/>
        <c:crosses val="autoZero"/>
        <c:auto val="1"/>
        <c:lblAlgn val="ctr"/>
        <c:lblOffset val="100"/>
        <c:noMultiLvlLbl val="1"/>
      </c:catAx>
      <c:valAx>
        <c:axId val="797119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_ ;[Red]\-0.00\ 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592057479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Arial"/>
              </a:defRPr>
            </a:pPr>
            <a:r>
              <a:rPr sz="1100" b="1" i="0">
                <a:solidFill>
                  <a:srgbClr val="000000"/>
                </a:solidFill>
                <a:latin typeface="Arial"/>
              </a:rPr>
              <a:t>Gráfico de Dispersión de Atributos respecto de la Media: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6312306761111688E-2"/>
          <c:y val="0.18780999910263568"/>
          <c:w val="0.88843817991460139"/>
          <c:h val="0.5852196710746355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'PLANILLA PARA EL FORMADOR'!$B$179:$J$179</c:f>
              <c:numCache>
                <c:formatCode>0.00_ ;[Red]\-0.00\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C9-412B-AE42-EC2D499A4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6144500"/>
        <c:axId val="186827411"/>
      </c:barChart>
      <c:catAx>
        <c:axId val="1946144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186827411"/>
        <c:crosses val="autoZero"/>
        <c:auto val="1"/>
        <c:lblAlgn val="ctr"/>
        <c:lblOffset val="100"/>
        <c:noMultiLvlLbl val="1"/>
      </c:catAx>
      <c:valAx>
        <c:axId val="186827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_ ;[Red]\-0.00\ 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194614450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Arial"/>
              </a:defRPr>
            </a:pPr>
            <a:r>
              <a:rPr sz="1100" b="1" i="0">
                <a:solidFill>
                  <a:srgbClr val="000000"/>
                </a:solidFill>
                <a:latin typeface="Arial"/>
              </a:rPr>
              <a:t>Gráfico de Dispersión de Atributos respecto de la Media: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6312306761111688E-2"/>
          <c:y val="0.18780999910263579"/>
          <c:w val="0.88843817991460117"/>
          <c:h val="0.5852196710746355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'ENEGRAMA ANTERIOR'!$B$183:$J$183</c:f>
              <c:numCache>
                <c:formatCode>0.00_ ;[Red]\-0.00\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B9-44D3-A8C3-2A1501C54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3838282"/>
        <c:axId val="795444056"/>
      </c:barChart>
      <c:catAx>
        <c:axId val="323838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795444056"/>
        <c:crosses val="autoZero"/>
        <c:auto val="1"/>
        <c:lblAlgn val="ctr"/>
        <c:lblOffset val="100"/>
        <c:noMultiLvlLbl val="1"/>
      </c:catAx>
      <c:valAx>
        <c:axId val="795444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_ ;[Red]\-0.00\ 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32383828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156</xdr:row>
      <xdr:rowOff>9525</xdr:rowOff>
    </xdr:from>
    <xdr:ext cx="4886325" cy="1447800"/>
    <xdr:graphicFrame macro="">
      <xdr:nvGraphicFramePr>
        <xdr:cNvPr id="1657731349" name="Chart 1">
          <a:extLst>
            <a:ext uri="{FF2B5EF4-FFF2-40B4-BE49-F238E27FC236}">
              <a16:creationId xmlns:a16="http://schemas.microsoft.com/office/drawing/2014/main" id="{00000000-0008-0000-0100-000015F9C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171450</xdr:colOff>
      <xdr:row>219</xdr:row>
      <xdr:rowOff>171450</xdr:rowOff>
    </xdr:from>
    <xdr:ext cx="1304925" cy="13525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105650" y="7631430"/>
          <a:ext cx="1304925" cy="1352550"/>
          <a:chOff x="4693538" y="3103725"/>
          <a:chExt cx="1304925" cy="13525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4693538" y="3103725"/>
            <a:ext cx="1304925" cy="1352550"/>
            <a:chOff x="4693538" y="-3810278"/>
            <a:chExt cx="1304925" cy="826655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4693538" y="-3810277"/>
              <a:ext cx="1304925" cy="8266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4693538" y="-3810278"/>
              <a:ext cx="1304925" cy="8266552"/>
              <a:chOff x="7254875" y="11991975"/>
              <a:chExt cx="1308100" cy="837387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7254875" y="18995736"/>
                <a:ext cx="1308100" cy="137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7" name="Shape 7" descr="C:\Users\oalfonso\AppData\Local\Microsoft\Windows\Temporary Internet Files\Content.IE5\NK67NJ1O\Eneagrama.jpg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 l="-276" t="-2412" r="-1192" b="-3771"/>
              <a:stretch/>
            </xdr:blipFill>
            <xdr:spPr>
              <a:xfrm>
                <a:off x="7254875" y="12994481"/>
                <a:ext cx="1308100" cy="7371364"/>
              </a:xfrm>
              <a:prstGeom prst="rect">
                <a:avLst/>
              </a:prstGeom>
              <a:noFill/>
              <a:ln w="19050" cap="sq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pic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7342338" y="11991975"/>
                <a:ext cx="1183974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F82C1C"/>
                  </a:buClr>
                  <a:buSzPts val="1400"/>
                  <a:buFont typeface="Calibri"/>
                  <a:buNone/>
                </a:pPr>
                <a:r>
                  <a:rPr lang="en-US" sz="1400" b="1" i="1">
                    <a:solidFill>
                      <a:srgbClr val="F82C1C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ENEAGRAMA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5</xdr:col>
      <xdr:colOff>381000</xdr:colOff>
      <xdr:row>113</xdr:row>
      <xdr:rowOff>95250</xdr:rowOff>
    </xdr:from>
    <xdr:ext cx="5381625" cy="4638675"/>
    <xdr:pic>
      <xdr:nvPicPr>
        <xdr:cNvPr id="9" name="image1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180</xdr:row>
      <xdr:rowOff>9525</xdr:rowOff>
    </xdr:from>
    <xdr:ext cx="4886325" cy="1447800"/>
    <xdr:graphicFrame macro="">
      <xdr:nvGraphicFramePr>
        <xdr:cNvPr id="94511133" name="Chart 2">
          <a:extLst>
            <a:ext uri="{FF2B5EF4-FFF2-40B4-BE49-F238E27FC236}">
              <a16:creationId xmlns:a16="http://schemas.microsoft.com/office/drawing/2014/main" id="{00000000-0008-0000-0200-00001D20A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184</xdr:row>
      <xdr:rowOff>9525</xdr:rowOff>
    </xdr:from>
    <xdr:ext cx="4886325" cy="1447800"/>
    <xdr:graphicFrame macro="">
      <xdr:nvGraphicFramePr>
        <xdr:cNvPr id="783478064" name="Chart 3">
          <a:extLst>
            <a:ext uri="{FF2B5EF4-FFF2-40B4-BE49-F238E27FC236}">
              <a16:creationId xmlns:a16="http://schemas.microsoft.com/office/drawing/2014/main" id="{00000000-0008-0000-0300-000030EDB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371475</xdr:colOff>
      <xdr:row>134</xdr:row>
      <xdr:rowOff>142875</xdr:rowOff>
    </xdr:from>
    <xdr:ext cx="5476875" cy="5000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eneagramor@gmail.com" TargetMode="External"/><Relationship Id="rId1" Type="http://schemas.openxmlformats.org/officeDocument/2006/relationships/hyperlink" Target="mailto:eneagra_mas@yahoo.com.a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331"/>
  <sheetViews>
    <sheetView showGridLines="0" tabSelected="1" topLeftCell="A213" workbookViewId="0">
      <selection activeCell="A214" sqref="A214"/>
    </sheetView>
  </sheetViews>
  <sheetFormatPr baseColWidth="10" defaultColWidth="12.6640625" defaultRowHeight="15" customHeight="1" x14ac:dyDescent="0.25"/>
  <cols>
    <col min="1" max="1" width="8.109375" customWidth="1"/>
    <col min="2" max="2" width="4" customWidth="1"/>
    <col min="3" max="3" width="4.44140625" customWidth="1"/>
    <col min="4" max="4" width="14.109375" customWidth="1"/>
    <col min="5" max="5" width="11.44140625" customWidth="1"/>
    <col min="6" max="6" width="3.6640625" customWidth="1"/>
    <col min="7" max="7" width="11.44140625" customWidth="1"/>
    <col min="8" max="8" width="3.6640625" customWidth="1"/>
    <col min="9" max="9" width="11.44140625" customWidth="1"/>
    <col min="10" max="10" width="3.6640625" customWidth="1"/>
    <col min="11" max="12" width="11.44140625" customWidth="1"/>
    <col min="13" max="13" width="27.109375" customWidth="1"/>
    <col min="14" max="15" width="11.44140625" hidden="1" customWidth="1"/>
    <col min="16" max="223" width="11.44140625" customWidth="1"/>
  </cols>
  <sheetData>
    <row r="1" spans="1:223" ht="22.8" x14ac:dyDescent="0.25">
      <c r="A1" s="404" t="s">
        <v>0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9"/>
      <c r="HO1" s="1">
        <f>(+C3-C5)/365.25</f>
        <v>0</v>
      </c>
    </row>
    <row r="2" spans="1:223" ht="25.5" customHeight="1" x14ac:dyDescent="0.25">
      <c r="A2" s="405" t="s">
        <v>1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9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</row>
    <row r="3" spans="1:223" ht="27.75" customHeight="1" x14ac:dyDescent="0.25">
      <c r="A3" s="406" t="s">
        <v>2</v>
      </c>
      <c r="B3" s="407"/>
      <c r="C3" s="408"/>
      <c r="D3" s="374"/>
      <c r="E3" s="407"/>
      <c r="F3" s="409" t="s">
        <v>3</v>
      </c>
      <c r="G3" s="374"/>
      <c r="H3" s="374"/>
      <c r="I3" s="374"/>
      <c r="J3" s="374"/>
      <c r="K3" s="374"/>
      <c r="L3" s="374"/>
      <c r="M3" s="375"/>
      <c r="N3" s="5"/>
      <c r="O3" s="5"/>
    </row>
    <row r="4" spans="1:223" ht="27.75" customHeight="1" x14ac:dyDescent="0.25">
      <c r="A4" s="410" t="s">
        <v>4</v>
      </c>
      <c r="B4" s="388"/>
      <c r="C4" s="389"/>
      <c r="D4" s="361"/>
      <c r="E4" s="361"/>
      <c r="F4" s="361"/>
      <c r="G4" s="361"/>
      <c r="H4" s="361"/>
      <c r="I4" s="361"/>
      <c r="J4" s="361"/>
      <c r="K4" s="361"/>
      <c r="L4" s="361"/>
      <c r="M4" s="362"/>
      <c r="N4" s="6"/>
      <c r="O4" s="6"/>
    </row>
    <row r="5" spans="1:223" ht="27.75" customHeight="1" x14ac:dyDescent="0.25">
      <c r="A5" s="387" t="s">
        <v>5</v>
      </c>
      <c r="B5" s="388"/>
      <c r="C5" s="411"/>
      <c r="D5" s="361"/>
      <c r="E5" s="388"/>
      <c r="F5" s="396" t="s">
        <v>6</v>
      </c>
      <c r="G5" s="361"/>
      <c r="H5" s="361"/>
      <c r="I5" s="361"/>
      <c r="J5" s="361"/>
      <c r="K5" s="361"/>
      <c r="L5" s="361"/>
      <c r="M5" s="362"/>
      <c r="N5" s="5"/>
      <c r="O5" s="5"/>
    </row>
    <row r="6" spans="1:223" ht="27.75" customHeight="1" x14ac:dyDescent="0.25">
      <c r="A6" s="7" t="s">
        <v>7</v>
      </c>
      <c r="B6" s="8"/>
      <c r="C6" s="1"/>
      <c r="D6" s="9" t="s">
        <v>8</v>
      </c>
      <c r="E6" s="10"/>
      <c r="F6" s="10"/>
      <c r="G6" s="10"/>
      <c r="H6" s="11"/>
      <c r="I6" s="12"/>
      <c r="J6" s="12"/>
      <c r="K6" s="12"/>
      <c r="L6" s="12"/>
      <c r="M6" s="13"/>
      <c r="N6" s="14"/>
      <c r="O6" s="14"/>
    </row>
    <row r="7" spans="1:223" ht="27.75" customHeight="1" x14ac:dyDescent="0.25">
      <c r="A7" s="387" t="s">
        <v>9</v>
      </c>
      <c r="B7" s="388"/>
      <c r="C7" s="389"/>
      <c r="D7" s="388"/>
      <c r="E7" s="396" t="s">
        <v>10</v>
      </c>
      <c r="F7" s="361"/>
      <c r="G7" s="361"/>
      <c r="H7" s="361"/>
      <c r="I7" s="361"/>
      <c r="J7" s="361"/>
      <c r="K7" s="361"/>
      <c r="L7" s="361"/>
      <c r="M7" s="362"/>
      <c r="N7" s="6"/>
      <c r="O7" s="6"/>
    </row>
    <row r="8" spans="1:223" ht="27.75" customHeight="1" x14ac:dyDescent="0.25">
      <c r="A8" s="410" t="s">
        <v>11</v>
      </c>
      <c r="B8" s="388"/>
      <c r="C8" s="389"/>
      <c r="D8" s="388"/>
      <c r="E8" s="385" t="s">
        <v>12</v>
      </c>
      <c r="F8" s="361"/>
      <c r="G8" s="361"/>
      <c r="H8" s="361"/>
      <c r="I8" s="361"/>
      <c r="J8" s="361"/>
      <c r="K8" s="361"/>
      <c r="L8" s="361"/>
      <c r="M8" s="362"/>
      <c r="N8" s="6"/>
      <c r="O8" s="6"/>
    </row>
    <row r="9" spans="1:223" ht="27.75" customHeight="1" x14ac:dyDescent="0.25">
      <c r="A9" s="387" t="s">
        <v>13</v>
      </c>
      <c r="B9" s="388"/>
      <c r="C9" s="389"/>
      <c r="D9" s="361"/>
      <c r="E9" s="361"/>
      <c r="F9" s="361"/>
      <c r="G9" s="361"/>
      <c r="H9" s="361"/>
      <c r="I9" s="361"/>
      <c r="J9" s="361"/>
      <c r="K9" s="361"/>
      <c r="L9" s="361"/>
      <c r="M9" s="362"/>
      <c r="N9" s="6"/>
      <c r="O9" s="6"/>
    </row>
    <row r="10" spans="1:223" ht="27.75" customHeight="1" x14ac:dyDescent="0.25">
      <c r="A10" s="390" t="s">
        <v>14</v>
      </c>
      <c r="B10" s="391"/>
      <c r="C10" s="15"/>
      <c r="D10" s="16" t="s">
        <v>15</v>
      </c>
      <c r="E10" s="385" t="s">
        <v>16</v>
      </c>
      <c r="F10" s="361"/>
      <c r="G10" s="361"/>
      <c r="H10" s="361"/>
      <c r="I10" s="361"/>
      <c r="J10" s="361"/>
      <c r="K10" s="361"/>
      <c r="L10" s="361"/>
      <c r="M10" s="362"/>
      <c r="N10" s="17">
        <f t="shared" ref="N10:N21" si="0">+C10</f>
        <v>0</v>
      </c>
      <c r="O10" s="18">
        <v>1</v>
      </c>
    </row>
    <row r="11" spans="1:223" ht="27.75" customHeight="1" x14ac:dyDescent="0.25">
      <c r="A11" s="392"/>
      <c r="B11" s="393"/>
      <c r="C11" s="15"/>
      <c r="D11" s="19" t="s">
        <v>17</v>
      </c>
      <c r="E11" s="396" t="s">
        <v>18</v>
      </c>
      <c r="F11" s="361"/>
      <c r="G11" s="361"/>
      <c r="H11" s="361"/>
      <c r="I11" s="361"/>
      <c r="J11" s="361"/>
      <c r="K11" s="361"/>
      <c r="L11" s="361"/>
      <c r="M11" s="362"/>
      <c r="N11" s="17">
        <f t="shared" si="0"/>
        <v>0</v>
      </c>
      <c r="O11" s="18">
        <v>8</v>
      </c>
    </row>
    <row r="12" spans="1:223" ht="27.75" customHeight="1" x14ac:dyDescent="0.25">
      <c r="A12" s="392"/>
      <c r="B12" s="393"/>
      <c r="C12" s="15"/>
      <c r="D12" s="16" t="s">
        <v>19</v>
      </c>
      <c r="E12" s="385" t="s">
        <v>20</v>
      </c>
      <c r="F12" s="361"/>
      <c r="G12" s="361"/>
      <c r="H12" s="361"/>
      <c r="I12" s="361"/>
      <c r="J12" s="361"/>
      <c r="K12" s="361"/>
      <c r="L12" s="361"/>
      <c r="M12" s="362"/>
      <c r="N12" s="17">
        <f t="shared" si="0"/>
        <v>0</v>
      </c>
      <c r="O12" s="18">
        <v>7</v>
      </c>
    </row>
    <row r="13" spans="1:223" ht="27.75" customHeight="1" x14ac:dyDescent="0.25">
      <c r="A13" s="392"/>
      <c r="B13" s="393"/>
      <c r="C13" s="15"/>
      <c r="D13" s="19" t="s">
        <v>21</v>
      </c>
      <c r="E13" s="396" t="s">
        <v>22</v>
      </c>
      <c r="F13" s="361"/>
      <c r="G13" s="361"/>
      <c r="H13" s="361"/>
      <c r="I13" s="361"/>
      <c r="J13" s="361"/>
      <c r="K13" s="361"/>
      <c r="L13" s="361"/>
      <c r="M13" s="362"/>
      <c r="N13" s="17">
        <f t="shared" si="0"/>
        <v>0</v>
      </c>
      <c r="O13" s="18">
        <v>3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1"/>
    </row>
    <row r="14" spans="1:223" ht="27.75" customHeight="1" x14ac:dyDescent="0.25">
      <c r="A14" s="392"/>
      <c r="B14" s="393"/>
      <c r="C14" s="15"/>
      <c r="D14" s="16" t="s">
        <v>23</v>
      </c>
      <c r="E14" s="385" t="s">
        <v>24</v>
      </c>
      <c r="F14" s="361"/>
      <c r="G14" s="361"/>
      <c r="H14" s="361"/>
      <c r="I14" s="361"/>
      <c r="J14" s="361"/>
      <c r="K14" s="361"/>
      <c r="L14" s="361"/>
      <c r="M14" s="362"/>
      <c r="N14" s="17">
        <f t="shared" si="0"/>
        <v>0</v>
      </c>
      <c r="O14" s="18">
        <v>1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1"/>
    </row>
    <row r="15" spans="1:223" ht="27.75" customHeight="1" x14ac:dyDescent="0.25">
      <c r="A15" s="392"/>
      <c r="B15" s="393"/>
      <c r="C15" s="15"/>
      <c r="D15" s="19" t="s">
        <v>25</v>
      </c>
      <c r="E15" s="396" t="s">
        <v>26</v>
      </c>
      <c r="F15" s="361"/>
      <c r="G15" s="361"/>
      <c r="H15" s="361"/>
      <c r="I15" s="361"/>
      <c r="J15" s="361"/>
      <c r="K15" s="361"/>
      <c r="L15" s="361"/>
      <c r="M15" s="362"/>
      <c r="N15" s="17">
        <f t="shared" si="0"/>
        <v>0</v>
      </c>
      <c r="O15" s="18">
        <v>6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1"/>
    </row>
    <row r="16" spans="1:223" ht="27.75" customHeight="1" x14ac:dyDescent="0.25">
      <c r="A16" s="392"/>
      <c r="B16" s="393"/>
      <c r="C16" s="15"/>
      <c r="D16" s="16" t="s">
        <v>27</v>
      </c>
      <c r="E16" s="385" t="s">
        <v>28</v>
      </c>
      <c r="F16" s="361"/>
      <c r="G16" s="361"/>
      <c r="H16" s="361"/>
      <c r="I16" s="361"/>
      <c r="J16" s="361"/>
      <c r="K16" s="361"/>
      <c r="L16" s="361"/>
      <c r="M16" s="362"/>
      <c r="N16" s="17">
        <f t="shared" si="0"/>
        <v>0</v>
      </c>
      <c r="O16" s="18">
        <v>5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1"/>
    </row>
    <row r="17" spans="1:223" ht="27.75" customHeight="1" x14ac:dyDescent="0.25">
      <c r="A17" s="392"/>
      <c r="B17" s="393"/>
      <c r="C17" s="15"/>
      <c r="D17" s="19" t="s">
        <v>29</v>
      </c>
      <c r="E17" s="396" t="s">
        <v>30</v>
      </c>
      <c r="F17" s="361"/>
      <c r="G17" s="361"/>
      <c r="H17" s="361"/>
      <c r="I17" s="361"/>
      <c r="J17" s="361"/>
      <c r="K17" s="361"/>
      <c r="L17" s="361"/>
      <c r="M17" s="362"/>
      <c r="N17" s="17">
        <f t="shared" si="0"/>
        <v>0</v>
      </c>
      <c r="O17" s="18">
        <v>4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1"/>
    </row>
    <row r="18" spans="1:223" ht="27.75" customHeight="1" x14ac:dyDescent="0.25">
      <c r="A18" s="392"/>
      <c r="B18" s="393"/>
      <c r="C18" s="15"/>
      <c r="D18" s="16" t="s">
        <v>31</v>
      </c>
      <c r="E18" s="385" t="s">
        <v>32</v>
      </c>
      <c r="F18" s="361"/>
      <c r="G18" s="361"/>
      <c r="H18" s="361"/>
      <c r="I18" s="361"/>
      <c r="J18" s="361"/>
      <c r="K18" s="361"/>
      <c r="L18" s="361"/>
      <c r="M18" s="362"/>
      <c r="N18" s="17">
        <f t="shared" si="0"/>
        <v>0</v>
      </c>
      <c r="O18" s="18">
        <v>4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1"/>
    </row>
    <row r="19" spans="1:223" ht="27.75" customHeight="1" x14ac:dyDescent="0.25">
      <c r="A19" s="392"/>
      <c r="B19" s="393"/>
      <c r="C19" s="15"/>
      <c r="D19" s="19" t="s">
        <v>33</v>
      </c>
      <c r="E19" s="396" t="s">
        <v>34</v>
      </c>
      <c r="F19" s="361"/>
      <c r="G19" s="361"/>
      <c r="H19" s="361"/>
      <c r="I19" s="361"/>
      <c r="J19" s="361"/>
      <c r="K19" s="361"/>
      <c r="L19" s="361"/>
      <c r="M19" s="362"/>
      <c r="N19" s="17">
        <f t="shared" si="0"/>
        <v>0</v>
      </c>
      <c r="O19" s="18">
        <v>2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1"/>
    </row>
    <row r="20" spans="1:223" ht="27.75" customHeight="1" x14ac:dyDescent="0.25">
      <c r="A20" s="392"/>
      <c r="B20" s="393"/>
      <c r="C20" s="15"/>
      <c r="D20" s="16" t="s">
        <v>35</v>
      </c>
      <c r="E20" s="385" t="s">
        <v>36</v>
      </c>
      <c r="F20" s="361"/>
      <c r="G20" s="361"/>
      <c r="H20" s="361"/>
      <c r="I20" s="361"/>
      <c r="J20" s="361"/>
      <c r="K20" s="361"/>
      <c r="L20" s="361"/>
      <c r="M20" s="362"/>
      <c r="N20" s="17">
        <f t="shared" si="0"/>
        <v>0</v>
      </c>
      <c r="O20" s="18">
        <v>8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1"/>
    </row>
    <row r="21" spans="1:223" ht="27.75" customHeight="1" x14ac:dyDescent="0.25">
      <c r="A21" s="394"/>
      <c r="B21" s="395"/>
      <c r="C21" s="15"/>
      <c r="D21" s="22" t="s">
        <v>37</v>
      </c>
      <c r="E21" s="386" t="s">
        <v>38</v>
      </c>
      <c r="F21" s="377"/>
      <c r="G21" s="377"/>
      <c r="H21" s="377"/>
      <c r="I21" s="377"/>
      <c r="J21" s="377"/>
      <c r="K21" s="377"/>
      <c r="L21" s="377"/>
      <c r="M21" s="378"/>
      <c r="N21" s="17">
        <f t="shared" si="0"/>
        <v>0</v>
      </c>
      <c r="O21" s="18">
        <v>9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1"/>
    </row>
    <row r="22" spans="1:223" ht="23.25" customHeight="1" x14ac:dyDescent="0.25">
      <c r="A22" s="397" t="s">
        <v>39</v>
      </c>
      <c r="B22" s="398"/>
      <c r="C22" s="398"/>
      <c r="D22" s="398"/>
      <c r="E22" s="398"/>
      <c r="F22" s="398"/>
      <c r="G22" s="398"/>
      <c r="H22" s="398"/>
      <c r="I22" s="398"/>
      <c r="J22" s="398"/>
      <c r="K22" s="398"/>
      <c r="L22" s="398"/>
      <c r="M22" s="399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</row>
    <row r="23" spans="1:223" ht="15.75" customHeight="1" x14ac:dyDescent="0.25">
      <c r="A23" s="400" t="s">
        <v>40</v>
      </c>
      <c r="B23" s="365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</row>
    <row r="24" spans="1:223" ht="15.75" customHeight="1" x14ac:dyDescent="0.25">
      <c r="A24" s="401" t="s">
        <v>41</v>
      </c>
      <c r="B24" s="368"/>
      <c r="C24" s="368"/>
      <c r="D24" s="368"/>
      <c r="E24" s="368"/>
      <c r="F24" s="368"/>
      <c r="G24" s="368"/>
      <c r="H24" s="368"/>
      <c r="I24" s="368"/>
      <c r="J24" s="368"/>
      <c r="K24" s="368"/>
      <c r="L24" s="368"/>
      <c r="M24" s="36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</row>
    <row r="25" spans="1:223" ht="15.75" customHeight="1" x14ac:dyDescent="0.25">
      <c r="A25" s="401" t="s">
        <v>42</v>
      </c>
      <c r="B25" s="368"/>
      <c r="C25" s="368"/>
      <c r="D25" s="368"/>
      <c r="E25" s="368"/>
      <c r="F25" s="368"/>
      <c r="G25" s="368"/>
      <c r="H25" s="368"/>
      <c r="I25" s="368"/>
      <c r="J25" s="368"/>
      <c r="K25" s="368"/>
      <c r="L25" s="368"/>
      <c r="M25" s="36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</row>
    <row r="26" spans="1:223" ht="15.75" customHeight="1" x14ac:dyDescent="0.25">
      <c r="A26" s="401" t="s">
        <v>43</v>
      </c>
      <c r="B26" s="368"/>
      <c r="C26" s="368"/>
      <c r="D26" s="368"/>
      <c r="E26" s="368"/>
      <c r="F26" s="368"/>
      <c r="G26" s="368"/>
      <c r="H26" s="368"/>
      <c r="I26" s="368"/>
      <c r="J26" s="368"/>
      <c r="K26" s="368"/>
      <c r="L26" s="368"/>
      <c r="M26" s="36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</row>
    <row r="27" spans="1:223" ht="15.75" customHeight="1" x14ac:dyDescent="0.25">
      <c r="A27" s="401" t="s">
        <v>44</v>
      </c>
      <c r="B27" s="368"/>
      <c r="C27" s="368"/>
      <c r="D27" s="368"/>
      <c r="E27" s="368"/>
      <c r="F27" s="368"/>
      <c r="G27" s="368"/>
      <c r="H27" s="368"/>
      <c r="I27" s="368"/>
      <c r="J27" s="368"/>
      <c r="K27" s="368"/>
      <c r="L27" s="368"/>
      <c r="M27" s="36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</row>
    <row r="28" spans="1:223" ht="15.75" customHeight="1" x14ac:dyDescent="0.25">
      <c r="A28" s="401" t="s">
        <v>45</v>
      </c>
      <c r="B28" s="368"/>
      <c r="C28" s="368"/>
      <c r="D28" s="368"/>
      <c r="E28" s="368"/>
      <c r="F28" s="368"/>
      <c r="G28" s="368"/>
      <c r="H28" s="368"/>
      <c r="I28" s="368"/>
      <c r="J28" s="368"/>
      <c r="K28" s="368"/>
      <c r="L28" s="368"/>
      <c r="M28" s="36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</row>
    <row r="29" spans="1:223" ht="15.75" customHeight="1" x14ac:dyDescent="0.25">
      <c r="A29" s="402" t="s">
        <v>46</v>
      </c>
      <c r="B29" s="371"/>
      <c r="C29" s="371"/>
      <c r="D29" s="371"/>
      <c r="E29" s="371"/>
      <c r="F29" s="371"/>
      <c r="G29" s="371"/>
      <c r="H29" s="371"/>
      <c r="I29" s="371"/>
      <c r="J29" s="371"/>
      <c r="K29" s="371"/>
      <c r="L29" s="371"/>
      <c r="M29" s="37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</row>
    <row r="30" spans="1:223" ht="13.5" customHeight="1" x14ac:dyDescent="0.25">
      <c r="A30" s="24">
        <v>1</v>
      </c>
      <c r="B30" s="25"/>
      <c r="C30" s="403" t="s">
        <v>47</v>
      </c>
      <c r="D30" s="374"/>
      <c r="E30" s="374"/>
      <c r="F30" s="374"/>
      <c r="G30" s="374"/>
      <c r="H30" s="374"/>
      <c r="I30" s="374"/>
      <c r="J30" s="374"/>
      <c r="K30" s="374"/>
      <c r="L30" s="374"/>
      <c r="M30" s="375"/>
      <c r="N30" s="26">
        <v>8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</row>
    <row r="31" spans="1:223" ht="13.5" customHeight="1" x14ac:dyDescent="0.25">
      <c r="A31" s="27">
        <v>2</v>
      </c>
      <c r="B31" s="25"/>
      <c r="C31" s="363" t="s">
        <v>48</v>
      </c>
      <c r="D31" s="361"/>
      <c r="E31" s="361"/>
      <c r="F31" s="361"/>
      <c r="G31" s="361"/>
      <c r="H31" s="361"/>
      <c r="I31" s="361"/>
      <c r="J31" s="361"/>
      <c r="K31" s="361"/>
      <c r="L31" s="361"/>
      <c r="M31" s="362"/>
      <c r="N31" s="26">
        <v>6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</row>
    <row r="32" spans="1:223" ht="13.5" customHeight="1" x14ac:dyDescent="0.25">
      <c r="A32" s="28">
        <v>3</v>
      </c>
      <c r="B32" s="25"/>
      <c r="C32" s="360" t="s">
        <v>49</v>
      </c>
      <c r="D32" s="361"/>
      <c r="E32" s="361"/>
      <c r="F32" s="361"/>
      <c r="G32" s="361"/>
      <c r="H32" s="361"/>
      <c r="I32" s="361"/>
      <c r="J32" s="361"/>
      <c r="K32" s="361"/>
      <c r="L32" s="361"/>
      <c r="M32" s="362"/>
      <c r="N32" s="26">
        <v>9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</row>
    <row r="33" spans="1:223" ht="13.5" customHeight="1" x14ac:dyDescent="0.25">
      <c r="A33" s="27">
        <v>4</v>
      </c>
      <c r="B33" s="25"/>
      <c r="C33" s="363" t="s">
        <v>50</v>
      </c>
      <c r="D33" s="361"/>
      <c r="E33" s="361"/>
      <c r="F33" s="361"/>
      <c r="G33" s="361"/>
      <c r="H33" s="361"/>
      <c r="I33" s="361"/>
      <c r="J33" s="361"/>
      <c r="K33" s="361"/>
      <c r="L33" s="361"/>
      <c r="M33" s="362"/>
      <c r="N33" s="26">
        <v>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</row>
    <row r="34" spans="1:223" ht="13.5" customHeight="1" x14ac:dyDescent="0.25">
      <c r="A34" s="28">
        <v>5</v>
      </c>
      <c r="B34" s="25"/>
      <c r="C34" s="360" t="s">
        <v>51</v>
      </c>
      <c r="D34" s="361"/>
      <c r="E34" s="361"/>
      <c r="F34" s="361"/>
      <c r="G34" s="361"/>
      <c r="H34" s="361"/>
      <c r="I34" s="361"/>
      <c r="J34" s="361"/>
      <c r="K34" s="361"/>
      <c r="L34" s="361"/>
      <c r="M34" s="362"/>
      <c r="N34" s="26">
        <v>2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</row>
    <row r="35" spans="1:223" ht="13.5" customHeight="1" x14ac:dyDescent="0.25">
      <c r="A35" s="27">
        <v>6</v>
      </c>
      <c r="B35" s="25"/>
      <c r="C35" s="363" t="s">
        <v>52</v>
      </c>
      <c r="D35" s="361"/>
      <c r="E35" s="361"/>
      <c r="F35" s="361"/>
      <c r="G35" s="361"/>
      <c r="H35" s="361"/>
      <c r="I35" s="361"/>
      <c r="J35" s="361"/>
      <c r="K35" s="361"/>
      <c r="L35" s="361"/>
      <c r="M35" s="362"/>
      <c r="N35" s="26">
        <v>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</row>
    <row r="36" spans="1:223" ht="13.5" customHeight="1" x14ac:dyDescent="0.25">
      <c r="A36" s="28">
        <v>7</v>
      </c>
      <c r="B36" s="25"/>
      <c r="C36" s="360" t="s">
        <v>53</v>
      </c>
      <c r="D36" s="361"/>
      <c r="E36" s="361"/>
      <c r="F36" s="361"/>
      <c r="G36" s="361"/>
      <c r="H36" s="361"/>
      <c r="I36" s="361"/>
      <c r="J36" s="361"/>
      <c r="K36" s="361"/>
      <c r="L36" s="361"/>
      <c r="M36" s="362"/>
      <c r="N36" s="26">
        <v>7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</row>
    <row r="37" spans="1:223" ht="13.5" customHeight="1" x14ac:dyDescent="0.25">
      <c r="A37" s="27">
        <v>8</v>
      </c>
      <c r="B37" s="25"/>
      <c r="C37" s="363" t="s">
        <v>54</v>
      </c>
      <c r="D37" s="361"/>
      <c r="E37" s="361"/>
      <c r="F37" s="361"/>
      <c r="G37" s="361"/>
      <c r="H37" s="361"/>
      <c r="I37" s="361"/>
      <c r="J37" s="361"/>
      <c r="K37" s="361"/>
      <c r="L37" s="361"/>
      <c r="M37" s="362"/>
      <c r="N37" s="26">
        <v>4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</row>
    <row r="38" spans="1:223" ht="13.5" customHeight="1" x14ac:dyDescent="0.25">
      <c r="A38" s="28">
        <v>9</v>
      </c>
      <c r="B38" s="25"/>
      <c r="C38" s="360" t="s">
        <v>55</v>
      </c>
      <c r="D38" s="361"/>
      <c r="E38" s="361"/>
      <c r="F38" s="361"/>
      <c r="G38" s="361"/>
      <c r="H38" s="361"/>
      <c r="I38" s="361"/>
      <c r="J38" s="361"/>
      <c r="K38" s="361"/>
      <c r="L38" s="361"/>
      <c r="M38" s="362"/>
      <c r="N38" s="26">
        <v>1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</row>
    <row r="39" spans="1:223" ht="13.5" customHeight="1" x14ac:dyDescent="0.25">
      <c r="A39" s="27">
        <v>10</v>
      </c>
      <c r="B39" s="25"/>
      <c r="C39" s="363" t="s">
        <v>56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2"/>
      <c r="N39" s="26">
        <v>9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</row>
    <row r="40" spans="1:223" ht="13.5" customHeight="1" x14ac:dyDescent="0.25">
      <c r="A40" s="28">
        <v>11</v>
      </c>
      <c r="B40" s="25"/>
      <c r="C40" s="360" t="s">
        <v>57</v>
      </c>
      <c r="D40" s="361"/>
      <c r="E40" s="361"/>
      <c r="F40" s="361"/>
      <c r="G40" s="361"/>
      <c r="H40" s="361"/>
      <c r="I40" s="361"/>
      <c r="J40" s="361"/>
      <c r="K40" s="361"/>
      <c r="L40" s="361"/>
      <c r="M40" s="362"/>
      <c r="N40" s="26">
        <v>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</row>
    <row r="41" spans="1:223" ht="13.5" customHeight="1" x14ac:dyDescent="0.25">
      <c r="A41" s="27">
        <v>12</v>
      </c>
      <c r="B41" s="25"/>
      <c r="C41" s="363" t="s">
        <v>58</v>
      </c>
      <c r="D41" s="361"/>
      <c r="E41" s="361"/>
      <c r="F41" s="361"/>
      <c r="G41" s="361"/>
      <c r="H41" s="361"/>
      <c r="I41" s="361"/>
      <c r="J41" s="361"/>
      <c r="K41" s="361"/>
      <c r="L41" s="361"/>
      <c r="M41" s="362"/>
      <c r="N41" s="26">
        <v>7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</row>
    <row r="42" spans="1:223" ht="13.5" customHeight="1" x14ac:dyDescent="0.25">
      <c r="A42" s="28">
        <v>13</v>
      </c>
      <c r="B42" s="25"/>
      <c r="C42" s="360" t="s">
        <v>59</v>
      </c>
      <c r="D42" s="361"/>
      <c r="E42" s="361"/>
      <c r="F42" s="361"/>
      <c r="G42" s="361"/>
      <c r="H42" s="361"/>
      <c r="I42" s="361"/>
      <c r="J42" s="361"/>
      <c r="K42" s="361"/>
      <c r="L42" s="361"/>
      <c r="M42" s="362"/>
      <c r="N42" s="26">
        <v>8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</row>
    <row r="43" spans="1:223" ht="13.5" customHeight="1" x14ac:dyDescent="0.25">
      <c r="A43" s="27">
        <v>14</v>
      </c>
      <c r="B43" s="25"/>
      <c r="C43" s="363" t="s">
        <v>60</v>
      </c>
      <c r="D43" s="361"/>
      <c r="E43" s="361"/>
      <c r="F43" s="361"/>
      <c r="G43" s="361"/>
      <c r="H43" s="361"/>
      <c r="I43" s="361"/>
      <c r="J43" s="361"/>
      <c r="K43" s="361"/>
      <c r="L43" s="361"/>
      <c r="M43" s="362"/>
      <c r="N43" s="26">
        <v>3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</row>
    <row r="44" spans="1:223" ht="13.5" customHeight="1" x14ac:dyDescent="0.25">
      <c r="A44" s="28">
        <v>15</v>
      </c>
      <c r="B44" s="25"/>
      <c r="C44" s="360" t="s">
        <v>61</v>
      </c>
      <c r="D44" s="361"/>
      <c r="E44" s="361"/>
      <c r="F44" s="361"/>
      <c r="G44" s="361"/>
      <c r="H44" s="361"/>
      <c r="I44" s="361"/>
      <c r="J44" s="361"/>
      <c r="K44" s="361"/>
      <c r="L44" s="361"/>
      <c r="M44" s="362"/>
      <c r="N44" s="26">
        <v>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</row>
    <row r="45" spans="1:223" ht="13.5" customHeight="1" x14ac:dyDescent="0.25">
      <c r="A45" s="27">
        <v>16</v>
      </c>
      <c r="B45" s="25"/>
      <c r="C45" s="363" t="s">
        <v>62</v>
      </c>
      <c r="D45" s="361"/>
      <c r="E45" s="361"/>
      <c r="F45" s="361"/>
      <c r="G45" s="361"/>
      <c r="H45" s="361"/>
      <c r="I45" s="361"/>
      <c r="J45" s="361"/>
      <c r="K45" s="361"/>
      <c r="L45" s="361"/>
      <c r="M45" s="362"/>
      <c r="N45" s="26">
        <v>6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</row>
    <row r="46" spans="1:223" ht="13.5" customHeight="1" x14ac:dyDescent="0.25">
      <c r="A46" s="28">
        <v>17</v>
      </c>
      <c r="B46" s="25"/>
      <c r="C46" s="360" t="s">
        <v>63</v>
      </c>
      <c r="D46" s="361"/>
      <c r="E46" s="361"/>
      <c r="F46" s="361"/>
      <c r="G46" s="361"/>
      <c r="H46" s="361"/>
      <c r="I46" s="361"/>
      <c r="J46" s="361"/>
      <c r="K46" s="361"/>
      <c r="L46" s="361"/>
      <c r="M46" s="362"/>
      <c r="N46" s="26">
        <v>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</row>
    <row r="47" spans="1:223" ht="13.5" customHeight="1" x14ac:dyDescent="0.25">
      <c r="A47" s="27">
        <v>18</v>
      </c>
      <c r="B47" s="25"/>
      <c r="C47" s="363" t="s">
        <v>64</v>
      </c>
      <c r="D47" s="361"/>
      <c r="E47" s="361"/>
      <c r="F47" s="361"/>
      <c r="G47" s="361"/>
      <c r="H47" s="361"/>
      <c r="I47" s="361"/>
      <c r="J47" s="361"/>
      <c r="K47" s="361"/>
      <c r="L47" s="361"/>
      <c r="M47" s="362"/>
      <c r="N47" s="26">
        <v>5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</row>
    <row r="48" spans="1:223" ht="13.5" customHeight="1" x14ac:dyDescent="0.25">
      <c r="A48" s="28">
        <v>19</v>
      </c>
      <c r="B48" s="25"/>
      <c r="C48" s="360" t="s">
        <v>65</v>
      </c>
      <c r="D48" s="361"/>
      <c r="E48" s="361"/>
      <c r="F48" s="361"/>
      <c r="G48" s="361"/>
      <c r="H48" s="361"/>
      <c r="I48" s="361"/>
      <c r="J48" s="361"/>
      <c r="K48" s="361"/>
      <c r="L48" s="361"/>
      <c r="M48" s="362"/>
      <c r="N48" s="26">
        <v>8</v>
      </c>
      <c r="O48" s="4"/>
      <c r="P48" s="4"/>
      <c r="Q48" s="4" t="s">
        <v>66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</row>
    <row r="49" spans="1:223" ht="13.5" customHeight="1" x14ac:dyDescent="0.25">
      <c r="A49" s="27">
        <v>20</v>
      </c>
      <c r="B49" s="25"/>
      <c r="C49" s="363" t="s">
        <v>67</v>
      </c>
      <c r="D49" s="361"/>
      <c r="E49" s="361"/>
      <c r="F49" s="361"/>
      <c r="G49" s="361"/>
      <c r="H49" s="361"/>
      <c r="I49" s="361"/>
      <c r="J49" s="361"/>
      <c r="K49" s="361"/>
      <c r="L49" s="361"/>
      <c r="M49" s="362"/>
      <c r="N49" s="26">
        <v>5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</row>
    <row r="50" spans="1:223" ht="13.5" customHeight="1" x14ac:dyDescent="0.25">
      <c r="A50" s="28">
        <v>21</v>
      </c>
      <c r="B50" s="25"/>
      <c r="C50" s="360" t="s">
        <v>68</v>
      </c>
      <c r="D50" s="361"/>
      <c r="E50" s="361"/>
      <c r="F50" s="361"/>
      <c r="G50" s="361"/>
      <c r="H50" s="361"/>
      <c r="I50" s="361"/>
      <c r="J50" s="361"/>
      <c r="K50" s="361"/>
      <c r="L50" s="361"/>
      <c r="M50" s="362"/>
      <c r="N50" s="26">
        <v>2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</row>
    <row r="51" spans="1:223" ht="13.5" customHeight="1" x14ac:dyDescent="0.25">
      <c r="A51" s="27">
        <v>22</v>
      </c>
      <c r="B51" s="25"/>
      <c r="C51" s="363" t="s">
        <v>69</v>
      </c>
      <c r="D51" s="361"/>
      <c r="E51" s="361"/>
      <c r="F51" s="361"/>
      <c r="G51" s="361"/>
      <c r="H51" s="361"/>
      <c r="I51" s="361"/>
      <c r="J51" s="361"/>
      <c r="K51" s="361"/>
      <c r="L51" s="361"/>
      <c r="M51" s="362"/>
      <c r="N51" s="26">
        <v>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</row>
    <row r="52" spans="1:223" ht="13.5" customHeight="1" x14ac:dyDescent="0.25">
      <c r="A52" s="28">
        <v>23</v>
      </c>
      <c r="B52" s="25"/>
      <c r="C52" s="360" t="s">
        <v>70</v>
      </c>
      <c r="D52" s="361"/>
      <c r="E52" s="361"/>
      <c r="F52" s="361"/>
      <c r="G52" s="361"/>
      <c r="H52" s="361"/>
      <c r="I52" s="361"/>
      <c r="J52" s="361"/>
      <c r="K52" s="361"/>
      <c r="L52" s="361"/>
      <c r="M52" s="362"/>
      <c r="N52" s="26">
        <v>7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</row>
    <row r="53" spans="1:223" ht="13.5" customHeight="1" x14ac:dyDescent="0.25">
      <c r="A53" s="27">
        <v>24</v>
      </c>
      <c r="B53" s="25"/>
      <c r="C53" s="363" t="s">
        <v>71</v>
      </c>
      <c r="D53" s="361"/>
      <c r="E53" s="361"/>
      <c r="F53" s="361"/>
      <c r="G53" s="361"/>
      <c r="H53" s="361"/>
      <c r="I53" s="361"/>
      <c r="J53" s="361"/>
      <c r="K53" s="361"/>
      <c r="L53" s="361"/>
      <c r="M53" s="362"/>
      <c r="N53" s="26">
        <v>1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</row>
    <row r="54" spans="1:223" ht="13.5" customHeight="1" x14ac:dyDescent="0.25">
      <c r="A54" s="28">
        <v>25</v>
      </c>
      <c r="B54" s="25"/>
      <c r="C54" s="360" t="s">
        <v>72</v>
      </c>
      <c r="D54" s="361"/>
      <c r="E54" s="361"/>
      <c r="F54" s="361"/>
      <c r="G54" s="361"/>
      <c r="H54" s="361"/>
      <c r="I54" s="361"/>
      <c r="J54" s="361"/>
      <c r="K54" s="361"/>
      <c r="L54" s="361"/>
      <c r="M54" s="362"/>
      <c r="N54" s="26">
        <v>9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</row>
    <row r="55" spans="1:223" ht="13.5" customHeight="1" x14ac:dyDescent="0.25">
      <c r="A55" s="27">
        <v>26</v>
      </c>
      <c r="B55" s="25"/>
      <c r="C55" s="363" t="s">
        <v>73</v>
      </c>
      <c r="D55" s="361"/>
      <c r="E55" s="361"/>
      <c r="F55" s="361"/>
      <c r="G55" s="361"/>
      <c r="H55" s="361"/>
      <c r="I55" s="361"/>
      <c r="J55" s="361"/>
      <c r="K55" s="361"/>
      <c r="L55" s="361"/>
      <c r="M55" s="362"/>
      <c r="N55" s="26">
        <v>3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</row>
    <row r="56" spans="1:223" ht="13.5" customHeight="1" x14ac:dyDescent="0.25">
      <c r="A56" s="28">
        <v>27</v>
      </c>
      <c r="B56" s="25"/>
      <c r="C56" s="360" t="s">
        <v>74</v>
      </c>
      <c r="D56" s="361"/>
      <c r="E56" s="361"/>
      <c r="F56" s="361"/>
      <c r="G56" s="361"/>
      <c r="H56" s="361"/>
      <c r="I56" s="361"/>
      <c r="J56" s="361"/>
      <c r="K56" s="361"/>
      <c r="L56" s="361"/>
      <c r="M56" s="362"/>
      <c r="N56" s="26">
        <v>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</row>
    <row r="57" spans="1:223" ht="13.5" customHeight="1" x14ac:dyDescent="0.25">
      <c r="A57" s="27">
        <v>28</v>
      </c>
      <c r="B57" s="25"/>
      <c r="C57" s="363" t="s">
        <v>75</v>
      </c>
      <c r="D57" s="361"/>
      <c r="E57" s="361"/>
      <c r="F57" s="361"/>
      <c r="G57" s="361"/>
      <c r="H57" s="361"/>
      <c r="I57" s="361"/>
      <c r="J57" s="361"/>
      <c r="K57" s="361"/>
      <c r="L57" s="361"/>
      <c r="M57" s="362"/>
      <c r="N57" s="26">
        <v>2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</row>
    <row r="58" spans="1:223" ht="13.5" customHeight="1" x14ac:dyDescent="0.25">
      <c r="A58" s="28">
        <v>29</v>
      </c>
      <c r="B58" s="25"/>
      <c r="C58" s="360" t="s">
        <v>76</v>
      </c>
      <c r="D58" s="361"/>
      <c r="E58" s="361"/>
      <c r="F58" s="361"/>
      <c r="G58" s="361"/>
      <c r="H58" s="361"/>
      <c r="I58" s="361"/>
      <c r="J58" s="361"/>
      <c r="K58" s="361"/>
      <c r="L58" s="361"/>
      <c r="M58" s="362"/>
      <c r="N58" s="26">
        <v>3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</row>
    <row r="59" spans="1:223" ht="13.5" customHeight="1" x14ac:dyDescent="0.25">
      <c r="A59" s="27">
        <v>30</v>
      </c>
      <c r="B59" s="25"/>
      <c r="C59" s="363" t="s">
        <v>77</v>
      </c>
      <c r="D59" s="361"/>
      <c r="E59" s="361"/>
      <c r="F59" s="361"/>
      <c r="G59" s="361"/>
      <c r="H59" s="361"/>
      <c r="I59" s="361"/>
      <c r="J59" s="361"/>
      <c r="K59" s="361"/>
      <c r="L59" s="361"/>
      <c r="M59" s="362"/>
      <c r="N59" s="26">
        <v>8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</row>
    <row r="60" spans="1:223" ht="13.5" customHeight="1" x14ac:dyDescent="0.25">
      <c r="A60" s="28">
        <v>31</v>
      </c>
      <c r="B60" s="25"/>
      <c r="C60" s="360" t="s">
        <v>78</v>
      </c>
      <c r="D60" s="361"/>
      <c r="E60" s="361"/>
      <c r="F60" s="361"/>
      <c r="G60" s="361"/>
      <c r="H60" s="361"/>
      <c r="I60" s="361"/>
      <c r="J60" s="361"/>
      <c r="K60" s="361"/>
      <c r="L60" s="361"/>
      <c r="M60" s="362"/>
      <c r="N60" s="26">
        <v>5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</row>
    <row r="61" spans="1:223" ht="13.5" customHeight="1" x14ac:dyDescent="0.25">
      <c r="A61" s="27">
        <v>32</v>
      </c>
      <c r="B61" s="25"/>
      <c r="C61" s="363" t="s">
        <v>79</v>
      </c>
      <c r="D61" s="361"/>
      <c r="E61" s="361"/>
      <c r="F61" s="361"/>
      <c r="G61" s="361"/>
      <c r="H61" s="361"/>
      <c r="I61" s="361"/>
      <c r="J61" s="361"/>
      <c r="K61" s="361"/>
      <c r="L61" s="361"/>
      <c r="M61" s="362"/>
      <c r="N61" s="26">
        <v>1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</row>
    <row r="62" spans="1:223" ht="13.5" customHeight="1" x14ac:dyDescent="0.25">
      <c r="A62" s="28">
        <v>33</v>
      </c>
      <c r="B62" s="25"/>
      <c r="C62" s="360" t="s">
        <v>80</v>
      </c>
      <c r="D62" s="361"/>
      <c r="E62" s="361"/>
      <c r="F62" s="361"/>
      <c r="G62" s="361"/>
      <c r="H62" s="361"/>
      <c r="I62" s="361"/>
      <c r="J62" s="361"/>
      <c r="K62" s="361"/>
      <c r="L62" s="361"/>
      <c r="M62" s="362"/>
      <c r="N62" s="26">
        <v>6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</row>
    <row r="63" spans="1:223" ht="13.5" customHeight="1" x14ac:dyDescent="0.25">
      <c r="A63" s="27">
        <v>34</v>
      </c>
      <c r="B63" s="25"/>
      <c r="C63" s="363" t="s">
        <v>81</v>
      </c>
      <c r="D63" s="361"/>
      <c r="E63" s="361"/>
      <c r="F63" s="361"/>
      <c r="G63" s="361"/>
      <c r="H63" s="361"/>
      <c r="I63" s="361"/>
      <c r="J63" s="361"/>
      <c r="K63" s="361"/>
      <c r="L63" s="361"/>
      <c r="M63" s="362"/>
      <c r="N63" s="26">
        <v>9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</row>
    <row r="64" spans="1:223" ht="13.5" customHeight="1" x14ac:dyDescent="0.25">
      <c r="A64" s="28">
        <v>35</v>
      </c>
      <c r="B64" s="25"/>
      <c r="C64" s="360" t="s">
        <v>82</v>
      </c>
      <c r="D64" s="361"/>
      <c r="E64" s="361"/>
      <c r="F64" s="361"/>
      <c r="G64" s="361"/>
      <c r="H64" s="361"/>
      <c r="I64" s="361"/>
      <c r="J64" s="361"/>
      <c r="K64" s="361"/>
      <c r="L64" s="361"/>
      <c r="M64" s="362"/>
      <c r="N64" s="26">
        <v>4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</row>
    <row r="65" spans="1:223" ht="13.5" customHeight="1" x14ac:dyDescent="0.25">
      <c r="A65" s="27">
        <v>36</v>
      </c>
      <c r="B65" s="25"/>
      <c r="C65" s="363" t="s">
        <v>83</v>
      </c>
      <c r="D65" s="361"/>
      <c r="E65" s="361"/>
      <c r="F65" s="361"/>
      <c r="G65" s="361"/>
      <c r="H65" s="361"/>
      <c r="I65" s="361"/>
      <c r="J65" s="361"/>
      <c r="K65" s="361"/>
      <c r="L65" s="361"/>
      <c r="M65" s="362"/>
      <c r="N65" s="26">
        <v>7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</row>
    <row r="66" spans="1:223" ht="13.5" customHeight="1" x14ac:dyDescent="0.25">
      <c r="A66" s="28">
        <v>37</v>
      </c>
      <c r="B66" s="25"/>
      <c r="C66" s="360" t="s">
        <v>84</v>
      </c>
      <c r="D66" s="361"/>
      <c r="E66" s="361"/>
      <c r="F66" s="361"/>
      <c r="G66" s="361"/>
      <c r="H66" s="361"/>
      <c r="I66" s="361"/>
      <c r="J66" s="361"/>
      <c r="K66" s="361"/>
      <c r="L66" s="361"/>
      <c r="M66" s="362"/>
      <c r="N66" s="26">
        <v>4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</row>
    <row r="67" spans="1:223" ht="13.5" customHeight="1" x14ac:dyDescent="0.25">
      <c r="A67" s="27">
        <v>38</v>
      </c>
      <c r="B67" s="25"/>
      <c r="C67" s="363" t="s">
        <v>85</v>
      </c>
      <c r="D67" s="361"/>
      <c r="E67" s="361"/>
      <c r="F67" s="361"/>
      <c r="G67" s="361"/>
      <c r="H67" s="361"/>
      <c r="I67" s="361"/>
      <c r="J67" s="361"/>
      <c r="K67" s="361"/>
      <c r="L67" s="361"/>
      <c r="M67" s="362"/>
      <c r="N67" s="26">
        <v>5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</row>
    <row r="68" spans="1:223" ht="13.5" customHeight="1" x14ac:dyDescent="0.25">
      <c r="A68" s="28">
        <v>39</v>
      </c>
      <c r="B68" s="25"/>
      <c r="C68" s="360" t="s">
        <v>86</v>
      </c>
      <c r="D68" s="361"/>
      <c r="E68" s="361"/>
      <c r="F68" s="361"/>
      <c r="G68" s="361"/>
      <c r="H68" s="361"/>
      <c r="I68" s="361"/>
      <c r="J68" s="361"/>
      <c r="K68" s="361"/>
      <c r="L68" s="361"/>
      <c r="M68" s="362"/>
      <c r="N68" s="26">
        <v>1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</row>
    <row r="69" spans="1:223" ht="13.5" customHeight="1" x14ac:dyDescent="0.25">
      <c r="A69" s="27">
        <v>40</v>
      </c>
      <c r="B69" s="25"/>
      <c r="C69" s="363" t="s">
        <v>87</v>
      </c>
      <c r="D69" s="361"/>
      <c r="E69" s="361"/>
      <c r="F69" s="361"/>
      <c r="G69" s="361"/>
      <c r="H69" s="361"/>
      <c r="I69" s="361"/>
      <c r="J69" s="361"/>
      <c r="K69" s="361"/>
      <c r="L69" s="361"/>
      <c r="M69" s="362"/>
      <c r="N69" s="26">
        <v>2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</row>
    <row r="70" spans="1:223" ht="13.5" customHeight="1" x14ac:dyDescent="0.25">
      <c r="A70" s="28">
        <v>41</v>
      </c>
      <c r="B70" s="25"/>
      <c r="C70" s="360" t="s">
        <v>88</v>
      </c>
      <c r="D70" s="361"/>
      <c r="E70" s="361"/>
      <c r="F70" s="361"/>
      <c r="G70" s="361"/>
      <c r="H70" s="361"/>
      <c r="I70" s="361"/>
      <c r="J70" s="361"/>
      <c r="K70" s="361"/>
      <c r="L70" s="361"/>
      <c r="M70" s="362"/>
      <c r="N70" s="26">
        <v>8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</row>
    <row r="71" spans="1:223" ht="13.5" customHeight="1" x14ac:dyDescent="0.25">
      <c r="A71" s="27">
        <v>42</v>
      </c>
      <c r="B71" s="25"/>
      <c r="C71" s="363" t="s">
        <v>89</v>
      </c>
      <c r="D71" s="361"/>
      <c r="E71" s="361"/>
      <c r="F71" s="361"/>
      <c r="G71" s="361"/>
      <c r="H71" s="361"/>
      <c r="I71" s="361"/>
      <c r="J71" s="361"/>
      <c r="K71" s="361"/>
      <c r="L71" s="361"/>
      <c r="M71" s="362"/>
      <c r="N71" s="26">
        <v>7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</row>
    <row r="72" spans="1:223" ht="13.5" customHeight="1" x14ac:dyDescent="0.25">
      <c r="A72" s="28">
        <v>43</v>
      </c>
      <c r="B72" s="25"/>
      <c r="C72" s="360" t="s">
        <v>90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2"/>
      <c r="N72" s="26">
        <v>9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</row>
    <row r="73" spans="1:223" ht="13.5" customHeight="1" x14ac:dyDescent="0.25">
      <c r="A73" s="27">
        <v>44</v>
      </c>
      <c r="B73" s="25"/>
      <c r="C73" s="363" t="s">
        <v>91</v>
      </c>
      <c r="D73" s="361"/>
      <c r="E73" s="361"/>
      <c r="F73" s="361"/>
      <c r="G73" s="361"/>
      <c r="H73" s="361"/>
      <c r="I73" s="361"/>
      <c r="J73" s="361"/>
      <c r="K73" s="361"/>
      <c r="L73" s="361"/>
      <c r="M73" s="362"/>
      <c r="N73" s="26">
        <v>3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</row>
    <row r="74" spans="1:223" ht="13.5" customHeight="1" x14ac:dyDescent="0.25">
      <c r="A74" s="28">
        <v>45</v>
      </c>
      <c r="B74" s="25"/>
      <c r="C74" s="360" t="s">
        <v>92</v>
      </c>
      <c r="D74" s="361"/>
      <c r="E74" s="361"/>
      <c r="F74" s="361"/>
      <c r="G74" s="361"/>
      <c r="H74" s="361"/>
      <c r="I74" s="361"/>
      <c r="J74" s="361"/>
      <c r="K74" s="361"/>
      <c r="L74" s="361"/>
      <c r="M74" s="362"/>
      <c r="N74" s="26">
        <v>6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</row>
    <row r="75" spans="1:223" ht="13.5" customHeight="1" x14ac:dyDescent="0.25">
      <c r="A75" s="27">
        <v>46</v>
      </c>
      <c r="B75" s="25"/>
      <c r="C75" s="363" t="s">
        <v>93</v>
      </c>
      <c r="D75" s="361"/>
      <c r="E75" s="361"/>
      <c r="F75" s="361"/>
      <c r="G75" s="361"/>
      <c r="H75" s="361"/>
      <c r="I75" s="361"/>
      <c r="J75" s="361"/>
      <c r="K75" s="361"/>
      <c r="L75" s="361"/>
      <c r="M75" s="362"/>
      <c r="N75" s="26">
        <v>2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</row>
    <row r="76" spans="1:223" ht="13.5" customHeight="1" x14ac:dyDescent="0.25">
      <c r="A76" s="28">
        <v>47</v>
      </c>
      <c r="B76" s="25"/>
      <c r="C76" s="360" t="s">
        <v>94</v>
      </c>
      <c r="D76" s="361"/>
      <c r="E76" s="361"/>
      <c r="F76" s="361"/>
      <c r="G76" s="361"/>
      <c r="H76" s="361"/>
      <c r="I76" s="361"/>
      <c r="J76" s="361"/>
      <c r="K76" s="361"/>
      <c r="L76" s="361"/>
      <c r="M76" s="362"/>
      <c r="N76" s="26">
        <v>5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</row>
    <row r="77" spans="1:223" ht="13.5" customHeight="1" x14ac:dyDescent="0.25">
      <c r="A77" s="27">
        <v>48</v>
      </c>
      <c r="B77" s="25"/>
      <c r="C77" s="363" t="s">
        <v>95</v>
      </c>
      <c r="D77" s="361"/>
      <c r="E77" s="361"/>
      <c r="F77" s="361"/>
      <c r="G77" s="361"/>
      <c r="H77" s="361"/>
      <c r="I77" s="361"/>
      <c r="J77" s="361"/>
      <c r="K77" s="361"/>
      <c r="L77" s="361"/>
      <c r="M77" s="362"/>
      <c r="N77" s="26">
        <v>9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</row>
    <row r="78" spans="1:223" ht="13.5" customHeight="1" x14ac:dyDescent="0.25">
      <c r="A78" s="28">
        <v>49</v>
      </c>
      <c r="B78" s="25"/>
      <c r="C78" s="360" t="s">
        <v>96</v>
      </c>
      <c r="D78" s="361"/>
      <c r="E78" s="361"/>
      <c r="F78" s="361"/>
      <c r="G78" s="361"/>
      <c r="H78" s="361"/>
      <c r="I78" s="361"/>
      <c r="J78" s="361"/>
      <c r="K78" s="361"/>
      <c r="L78" s="361"/>
      <c r="M78" s="362"/>
      <c r="N78" s="26">
        <v>8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</row>
    <row r="79" spans="1:223" ht="13.5" customHeight="1" x14ac:dyDescent="0.25">
      <c r="A79" s="27">
        <v>50</v>
      </c>
      <c r="B79" s="25"/>
      <c r="C79" s="363" t="s">
        <v>97</v>
      </c>
      <c r="D79" s="361"/>
      <c r="E79" s="361"/>
      <c r="F79" s="361"/>
      <c r="G79" s="361"/>
      <c r="H79" s="361"/>
      <c r="I79" s="361"/>
      <c r="J79" s="361"/>
      <c r="K79" s="361"/>
      <c r="L79" s="361"/>
      <c r="M79" s="362"/>
      <c r="N79" s="26">
        <v>3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</row>
    <row r="80" spans="1:223" ht="13.5" customHeight="1" x14ac:dyDescent="0.25">
      <c r="A80" s="28">
        <v>51</v>
      </c>
      <c r="B80" s="25"/>
      <c r="C80" s="360" t="s">
        <v>98</v>
      </c>
      <c r="D80" s="361"/>
      <c r="E80" s="361"/>
      <c r="F80" s="361"/>
      <c r="G80" s="361"/>
      <c r="H80" s="361"/>
      <c r="I80" s="361"/>
      <c r="J80" s="361"/>
      <c r="K80" s="361"/>
      <c r="L80" s="361"/>
      <c r="M80" s="362"/>
      <c r="N80" s="26">
        <v>4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</row>
    <row r="81" spans="1:223" ht="13.5" customHeight="1" x14ac:dyDescent="0.25">
      <c r="A81" s="27">
        <v>52</v>
      </c>
      <c r="B81" s="25"/>
      <c r="C81" s="363" t="s">
        <v>99</v>
      </c>
      <c r="D81" s="361"/>
      <c r="E81" s="361"/>
      <c r="F81" s="361"/>
      <c r="G81" s="361"/>
      <c r="H81" s="361"/>
      <c r="I81" s="361"/>
      <c r="J81" s="361"/>
      <c r="K81" s="361"/>
      <c r="L81" s="361"/>
      <c r="M81" s="362"/>
      <c r="N81" s="26">
        <v>7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</row>
    <row r="82" spans="1:223" ht="13.5" customHeight="1" x14ac:dyDescent="0.25">
      <c r="A82" s="28">
        <v>53</v>
      </c>
      <c r="B82" s="25"/>
      <c r="C82" s="360" t="s">
        <v>100</v>
      </c>
      <c r="D82" s="361"/>
      <c r="E82" s="361"/>
      <c r="F82" s="361"/>
      <c r="G82" s="361"/>
      <c r="H82" s="361"/>
      <c r="I82" s="361"/>
      <c r="J82" s="361"/>
      <c r="K82" s="361"/>
      <c r="L82" s="361"/>
      <c r="M82" s="362"/>
      <c r="N82" s="26">
        <v>1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</row>
    <row r="83" spans="1:223" ht="13.5" customHeight="1" x14ac:dyDescent="0.25">
      <c r="A83" s="27">
        <v>54</v>
      </c>
      <c r="B83" s="25"/>
      <c r="C83" s="363" t="s">
        <v>101</v>
      </c>
      <c r="D83" s="361"/>
      <c r="E83" s="361"/>
      <c r="F83" s="361"/>
      <c r="G83" s="361"/>
      <c r="H83" s="361"/>
      <c r="I83" s="361"/>
      <c r="J83" s="361"/>
      <c r="K83" s="361"/>
      <c r="L83" s="361"/>
      <c r="M83" s="362"/>
      <c r="N83" s="26">
        <v>6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</row>
    <row r="84" spans="1:223" ht="13.5" customHeight="1" x14ac:dyDescent="0.25">
      <c r="A84" s="28">
        <v>55</v>
      </c>
      <c r="B84" s="25"/>
      <c r="C84" s="360" t="s">
        <v>102</v>
      </c>
      <c r="D84" s="361"/>
      <c r="E84" s="361"/>
      <c r="F84" s="361"/>
      <c r="G84" s="361"/>
      <c r="H84" s="361"/>
      <c r="I84" s="361"/>
      <c r="J84" s="361"/>
      <c r="K84" s="361"/>
      <c r="L84" s="361"/>
      <c r="M84" s="362"/>
      <c r="N84" s="26">
        <v>2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</row>
    <row r="85" spans="1:223" ht="13.5" customHeight="1" x14ac:dyDescent="0.25">
      <c r="A85" s="27">
        <v>56</v>
      </c>
      <c r="B85" s="25"/>
      <c r="C85" s="363" t="s">
        <v>103</v>
      </c>
      <c r="D85" s="361"/>
      <c r="E85" s="361"/>
      <c r="F85" s="361"/>
      <c r="G85" s="361"/>
      <c r="H85" s="361"/>
      <c r="I85" s="361"/>
      <c r="J85" s="361"/>
      <c r="K85" s="361"/>
      <c r="L85" s="361"/>
      <c r="M85" s="362"/>
      <c r="N85" s="26">
        <v>7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</row>
    <row r="86" spans="1:223" ht="13.5" customHeight="1" x14ac:dyDescent="0.25">
      <c r="A86" s="28">
        <v>57</v>
      </c>
      <c r="B86" s="25"/>
      <c r="C86" s="360" t="s">
        <v>104</v>
      </c>
      <c r="D86" s="361"/>
      <c r="E86" s="361"/>
      <c r="F86" s="361"/>
      <c r="G86" s="361"/>
      <c r="H86" s="361"/>
      <c r="I86" s="361"/>
      <c r="J86" s="361"/>
      <c r="K86" s="361"/>
      <c r="L86" s="361"/>
      <c r="M86" s="362"/>
      <c r="N86" s="26">
        <v>3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</row>
    <row r="87" spans="1:223" ht="13.5" customHeight="1" x14ac:dyDescent="0.25">
      <c r="A87" s="27">
        <v>58</v>
      </c>
      <c r="B87" s="25"/>
      <c r="C87" s="363" t="s">
        <v>105</v>
      </c>
      <c r="D87" s="361"/>
      <c r="E87" s="361"/>
      <c r="F87" s="361"/>
      <c r="G87" s="361"/>
      <c r="H87" s="361"/>
      <c r="I87" s="361"/>
      <c r="J87" s="361"/>
      <c r="K87" s="361"/>
      <c r="L87" s="361"/>
      <c r="M87" s="362"/>
      <c r="N87" s="26">
        <v>5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</row>
    <row r="88" spans="1:223" ht="13.5" customHeight="1" x14ac:dyDescent="0.25">
      <c r="A88" s="28">
        <v>59</v>
      </c>
      <c r="B88" s="25"/>
      <c r="C88" s="360" t="s">
        <v>106</v>
      </c>
      <c r="D88" s="361"/>
      <c r="E88" s="361"/>
      <c r="F88" s="361"/>
      <c r="G88" s="361"/>
      <c r="H88" s="361"/>
      <c r="I88" s="361"/>
      <c r="J88" s="361"/>
      <c r="K88" s="361"/>
      <c r="L88" s="361"/>
      <c r="M88" s="362"/>
      <c r="N88" s="26">
        <v>4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</row>
    <row r="89" spans="1:223" ht="13.5" customHeight="1" x14ac:dyDescent="0.25">
      <c r="A89" s="27">
        <v>60</v>
      </c>
      <c r="B89" s="25"/>
      <c r="C89" s="363" t="s">
        <v>107</v>
      </c>
      <c r="D89" s="361"/>
      <c r="E89" s="361"/>
      <c r="F89" s="361"/>
      <c r="G89" s="361"/>
      <c r="H89" s="361"/>
      <c r="I89" s="361"/>
      <c r="J89" s="361"/>
      <c r="K89" s="361"/>
      <c r="L89" s="361"/>
      <c r="M89" s="362"/>
      <c r="N89" s="26">
        <v>6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</row>
    <row r="90" spans="1:223" ht="13.5" customHeight="1" x14ac:dyDescent="0.25">
      <c r="A90" s="28">
        <v>61</v>
      </c>
      <c r="B90" s="25"/>
      <c r="C90" s="360" t="s">
        <v>108</v>
      </c>
      <c r="D90" s="361"/>
      <c r="E90" s="361"/>
      <c r="F90" s="361"/>
      <c r="G90" s="361"/>
      <c r="H90" s="361"/>
      <c r="I90" s="361"/>
      <c r="J90" s="361"/>
      <c r="K90" s="361"/>
      <c r="L90" s="361"/>
      <c r="M90" s="362"/>
      <c r="N90" s="26">
        <v>8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</row>
    <row r="91" spans="1:223" ht="13.5" customHeight="1" x14ac:dyDescent="0.25">
      <c r="A91" s="27">
        <v>62</v>
      </c>
      <c r="B91" s="25"/>
      <c r="C91" s="363" t="s">
        <v>109</v>
      </c>
      <c r="D91" s="361"/>
      <c r="E91" s="361"/>
      <c r="F91" s="361"/>
      <c r="G91" s="361"/>
      <c r="H91" s="361"/>
      <c r="I91" s="361"/>
      <c r="J91" s="361"/>
      <c r="K91" s="361"/>
      <c r="L91" s="361"/>
      <c r="M91" s="362"/>
      <c r="N91" s="26">
        <v>1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</row>
    <row r="92" spans="1:223" ht="13.5" customHeight="1" x14ac:dyDescent="0.25">
      <c r="A92" s="28">
        <v>63</v>
      </c>
      <c r="B92" s="25"/>
      <c r="C92" s="360" t="s">
        <v>110</v>
      </c>
      <c r="D92" s="361"/>
      <c r="E92" s="361"/>
      <c r="F92" s="361"/>
      <c r="G92" s="361"/>
      <c r="H92" s="361"/>
      <c r="I92" s="361"/>
      <c r="J92" s="361"/>
      <c r="K92" s="361"/>
      <c r="L92" s="361"/>
      <c r="M92" s="362"/>
      <c r="N92" s="26">
        <v>9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</row>
    <row r="93" spans="1:223" ht="13.5" customHeight="1" x14ac:dyDescent="0.25">
      <c r="A93" s="27">
        <v>64</v>
      </c>
      <c r="B93" s="25"/>
      <c r="C93" s="363" t="s">
        <v>111</v>
      </c>
      <c r="D93" s="361"/>
      <c r="E93" s="361"/>
      <c r="F93" s="361"/>
      <c r="G93" s="361"/>
      <c r="H93" s="361"/>
      <c r="I93" s="361"/>
      <c r="J93" s="361"/>
      <c r="K93" s="361"/>
      <c r="L93" s="361"/>
      <c r="M93" s="362"/>
      <c r="N93" s="26">
        <v>2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</row>
    <row r="94" spans="1:223" ht="13.5" customHeight="1" x14ac:dyDescent="0.25">
      <c r="A94" s="28">
        <v>65</v>
      </c>
      <c r="B94" s="25"/>
      <c r="C94" s="360" t="s">
        <v>112</v>
      </c>
      <c r="D94" s="361"/>
      <c r="E94" s="361"/>
      <c r="F94" s="361"/>
      <c r="G94" s="361"/>
      <c r="H94" s="361"/>
      <c r="I94" s="361"/>
      <c r="J94" s="361"/>
      <c r="K94" s="361"/>
      <c r="L94" s="361"/>
      <c r="M94" s="362"/>
      <c r="N94" s="26">
        <v>4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</row>
    <row r="95" spans="1:223" ht="13.5" customHeight="1" x14ac:dyDescent="0.25">
      <c r="A95" s="27">
        <v>66</v>
      </c>
      <c r="B95" s="25"/>
      <c r="C95" s="363" t="s">
        <v>113</v>
      </c>
      <c r="D95" s="361"/>
      <c r="E95" s="361"/>
      <c r="F95" s="361"/>
      <c r="G95" s="361"/>
      <c r="H95" s="361"/>
      <c r="I95" s="361"/>
      <c r="J95" s="361"/>
      <c r="K95" s="361"/>
      <c r="L95" s="361"/>
      <c r="M95" s="362"/>
      <c r="N95" s="26">
        <v>6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</row>
    <row r="96" spans="1:223" ht="13.5" customHeight="1" x14ac:dyDescent="0.25">
      <c r="A96" s="28">
        <v>67</v>
      </c>
      <c r="B96" s="25"/>
      <c r="C96" s="360" t="s">
        <v>114</v>
      </c>
      <c r="D96" s="361"/>
      <c r="E96" s="361"/>
      <c r="F96" s="361"/>
      <c r="G96" s="361"/>
      <c r="H96" s="361"/>
      <c r="I96" s="361"/>
      <c r="J96" s="361"/>
      <c r="K96" s="361"/>
      <c r="L96" s="361"/>
      <c r="M96" s="362"/>
      <c r="N96" s="26">
        <v>5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</row>
    <row r="97" spans="1:223" ht="13.5" customHeight="1" x14ac:dyDescent="0.25">
      <c r="A97" s="27">
        <v>68</v>
      </c>
      <c r="B97" s="25"/>
      <c r="C97" s="363" t="s">
        <v>115</v>
      </c>
      <c r="D97" s="361"/>
      <c r="E97" s="361"/>
      <c r="F97" s="361"/>
      <c r="G97" s="361"/>
      <c r="H97" s="361"/>
      <c r="I97" s="361"/>
      <c r="J97" s="361"/>
      <c r="K97" s="361"/>
      <c r="L97" s="361"/>
      <c r="M97" s="362"/>
      <c r="N97" s="26">
        <v>9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</row>
    <row r="98" spans="1:223" ht="13.5" customHeight="1" x14ac:dyDescent="0.25">
      <c r="A98" s="28">
        <v>69</v>
      </c>
      <c r="B98" s="25"/>
      <c r="C98" s="360" t="s">
        <v>116</v>
      </c>
      <c r="D98" s="361"/>
      <c r="E98" s="361"/>
      <c r="F98" s="361"/>
      <c r="G98" s="361"/>
      <c r="H98" s="361"/>
      <c r="I98" s="361"/>
      <c r="J98" s="361"/>
      <c r="K98" s="361"/>
      <c r="L98" s="361"/>
      <c r="M98" s="362"/>
      <c r="N98" s="26">
        <v>3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</row>
    <row r="99" spans="1:223" ht="13.5" customHeight="1" x14ac:dyDescent="0.25">
      <c r="A99" s="27">
        <v>70</v>
      </c>
      <c r="B99" s="25"/>
      <c r="C99" s="363" t="s">
        <v>117</v>
      </c>
      <c r="D99" s="361"/>
      <c r="E99" s="361"/>
      <c r="F99" s="361"/>
      <c r="G99" s="361"/>
      <c r="H99" s="361"/>
      <c r="I99" s="361"/>
      <c r="J99" s="361"/>
      <c r="K99" s="361"/>
      <c r="L99" s="361"/>
      <c r="M99" s="362"/>
      <c r="N99" s="26">
        <v>1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</row>
    <row r="100" spans="1:223" ht="13.5" customHeight="1" x14ac:dyDescent="0.25">
      <c r="A100" s="28">
        <v>71</v>
      </c>
      <c r="B100" s="25"/>
      <c r="C100" s="360" t="s">
        <v>118</v>
      </c>
      <c r="D100" s="361"/>
      <c r="E100" s="361"/>
      <c r="F100" s="361"/>
      <c r="G100" s="361"/>
      <c r="H100" s="361"/>
      <c r="I100" s="361"/>
      <c r="J100" s="361"/>
      <c r="K100" s="361"/>
      <c r="L100" s="361"/>
      <c r="M100" s="362"/>
      <c r="N100" s="26">
        <v>7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</row>
    <row r="101" spans="1:223" ht="13.5" customHeight="1" x14ac:dyDescent="0.25">
      <c r="A101" s="27">
        <v>72</v>
      </c>
      <c r="B101" s="25"/>
      <c r="C101" s="363" t="s">
        <v>119</v>
      </c>
      <c r="D101" s="361"/>
      <c r="E101" s="361"/>
      <c r="F101" s="361"/>
      <c r="G101" s="361"/>
      <c r="H101" s="361"/>
      <c r="I101" s="361"/>
      <c r="J101" s="361"/>
      <c r="K101" s="361"/>
      <c r="L101" s="361"/>
      <c r="M101" s="362"/>
      <c r="N101" s="26">
        <v>8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</row>
    <row r="102" spans="1:223" ht="13.5" customHeight="1" x14ac:dyDescent="0.25">
      <c r="A102" s="28">
        <v>73</v>
      </c>
      <c r="B102" s="25"/>
      <c r="C102" s="360" t="s">
        <v>120</v>
      </c>
      <c r="D102" s="361"/>
      <c r="E102" s="361"/>
      <c r="F102" s="361"/>
      <c r="G102" s="361"/>
      <c r="H102" s="361"/>
      <c r="I102" s="361"/>
      <c r="J102" s="361"/>
      <c r="K102" s="361"/>
      <c r="L102" s="361"/>
      <c r="M102" s="362"/>
      <c r="N102" s="26">
        <v>1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</row>
    <row r="103" spans="1:223" ht="13.5" customHeight="1" x14ac:dyDescent="0.25">
      <c r="A103" s="27">
        <v>74</v>
      </c>
      <c r="B103" s="25"/>
      <c r="C103" s="363" t="s">
        <v>121</v>
      </c>
      <c r="D103" s="361"/>
      <c r="E103" s="361"/>
      <c r="F103" s="361"/>
      <c r="G103" s="361"/>
      <c r="H103" s="361"/>
      <c r="I103" s="361"/>
      <c r="J103" s="361"/>
      <c r="K103" s="361"/>
      <c r="L103" s="361"/>
      <c r="M103" s="362"/>
      <c r="N103" s="26">
        <v>3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</row>
    <row r="104" spans="1:223" ht="13.5" customHeight="1" x14ac:dyDescent="0.25">
      <c r="A104" s="28">
        <v>75</v>
      </c>
      <c r="B104" s="25"/>
      <c r="C104" s="360" t="s">
        <v>122</v>
      </c>
      <c r="D104" s="361"/>
      <c r="E104" s="361"/>
      <c r="F104" s="361"/>
      <c r="G104" s="361"/>
      <c r="H104" s="361"/>
      <c r="I104" s="361"/>
      <c r="J104" s="361"/>
      <c r="K104" s="361"/>
      <c r="L104" s="361"/>
      <c r="M104" s="362"/>
      <c r="N104" s="26">
        <v>6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</row>
    <row r="105" spans="1:223" ht="13.5" customHeight="1" x14ac:dyDescent="0.25">
      <c r="A105" s="27">
        <v>76</v>
      </c>
      <c r="B105" s="25"/>
      <c r="C105" s="363" t="s">
        <v>123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2"/>
      <c r="N105" s="26">
        <v>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</row>
    <row r="106" spans="1:223" ht="13.5" customHeight="1" x14ac:dyDescent="0.25">
      <c r="A106" s="28">
        <v>77</v>
      </c>
      <c r="B106" s="25"/>
      <c r="C106" s="360" t="s">
        <v>124</v>
      </c>
      <c r="D106" s="361"/>
      <c r="E106" s="361"/>
      <c r="F106" s="361"/>
      <c r="G106" s="361"/>
      <c r="H106" s="361"/>
      <c r="I106" s="361"/>
      <c r="J106" s="361"/>
      <c r="K106" s="361"/>
      <c r="L106" s="361"/>
      <c r="M106" s="362"/>
      <c r="N106" s="26">
        <v>4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</row>
    <row r="107" spans="1:223" ht="13.5" customHeight="1" x14ac:dyDescent="0.25">
      <c r="A107" s="27">
        <v>78</v>
      </c>
      <c r="B107" s="25"/>
      <c r="C107" s="363" t="s">
        <v>125</v>
      </c>
      <c r="D107" s="361"/>
      <c r="E107" s="361"/>
      <c r="F107" s="361"/>
      <c r="G107" s="361"/>
      <c r="H107" s="361"/>
      <c r="I107" s="361"/>
      <c r="J107" s="361"/>
      <c r="K107" s="361"/>
      <c r="L107" s="361"/>
      <c r="M107" s="362"/>
      <c r="N107" s="26">
        <v>7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</row>
    <row r="108" spans="1:223" ht="13.5" customHeight="1" x14ac:dyDescent="0.25">
      <c r="A108" s="28">
        <v>79</v>
      </c>
      <c r="B108" s="25"/>
      <c r="C108" s="360" t="s">
        <v>126</v>
      </c>
      <c r="D108" s="361"/>
      <c r="E108" s="361"/>
      <c r="F108" s="361"/>
      <c r="G108" s="361"/>
      <c r="H108" s="361"/>
      <c r="I108" s="361"/>
      <c r="J108" s="361"/>
      <c r="K108" s="361"/>
      <c r="L108" s="361"/>
      <c r="M108" s="362"/>
      <c r="N108" s="26">
        <v>5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</row>
    <row r="109" spans="1:223" ht="13.5" customHeight="1" x14ac:dyDescent="0.25">
      <c r="A109" s="27">
        <v>80</v>
      </c>
      <c r="B109" s="25"/>
      <c r="C109" s="363" t="s">
        <v>127</v>
      </c>
      <c r="D109" s="361"/>
      <c r="E109" s="361"/>
      <c r="F109" s="361"/>
      <c r="G109" s="361"/>
      <c r="H109" s="361"/>
      <c r="I109" s="361"/>
      <c r="J109" s="361"/>
      <c r="K109" s="361"/>
      <c r="L109" s="361"/>
      <c r="M109" s="362"/>
      <c r="N109" s="26">
        <v>8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</row>
    <row r="110" spans="1:223" ht="13.5" customHeight="1" x14ac:dyDescent="0.25">
      <c r="A110" s="28">
        <v>81</v>
      </c>
      <c r="B110" s="25"/>
      <c r="C110" s="360" t="s">
        <v>128</v>
      </c>
      <c r="D110" s="361"/>
      <c r="E110" s="361"/>
      <c r="F110" s="361"/>
      <c r="G110" s="361"/>
      <c r="H110" s="361"/>
      <c r="I110" s="361"/>
      <c r="J110" s="361"/>
      <c r="K110" s="361"/>
      <c r="L110" s="361"/>
      <c r="M110" s="362"/>
      <c r="N110" s="26">
        <v>2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</row>
    <row r="111" spans="1:223" ht="13.5" customHeight="1" x14ac:dyDescent="0.25">
      <c r="A111" s="27">
        <v>82</v>
      </c>
      <c r="B111" s="25"/>
      <c r="C111" s="363" t="s">
        <v>129</v>
      </c>
      <c r="D111" s="361"/>
      <c r="E111" s="361"/>
      <c r="F111" s="361"/>
      <c r="G111" s="361"/>
      <c r="H111" s="361"/>
      <c r="I111" s="361"/>
      <c r="J111" s="361"/>
      <c r="K111" s="361"/>
      <c r="L111" s="361"/>
      <c r="M111" s="362"/>
      <c r="N111" s="26">
        <v>5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</row>
    <row r="112" spans="1:223" ht="13.5" customHeight="1" x14ac:dyDescent="0.25">
      <c r="A112" s="28">
        <v>83</v>
      </c>
      <c r="B112" s="25"/>
      <c r="C112" s="360" t="s">
        <v>130</v>
      </c>
      <c r="D112" s="361"/>
      <c r="E112" s="361"/>
      <c r="F112" s="361"/>
      <c r="G112" s="361"/>
      <c r="H112" s="361"/>
      <c r="I112" s="361"/>
      <c r="J112" s="361"/>
      <c r="K112" s="361"/>
      <c r="L112" s="361"/>
      <c r="M112" s="362"/>
      <c r="N112" s="26">
        <v>6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</row>
    <row r="113" spans="1:223" ht="13.5" customHeight="1" x14ac:dyDescent="0.25">
      <c r="A113" s="27">
        <v>84</v>
      </c>
      <c r="B113" s="25"/>
      <c r="C113" s="363" t="s">
        <v>131</v>
      </c>
      <c r="D113" s="361"/>
      <c r="E113" s="361"/>
      <c r="F113" s="361"/>
      <c r="G113" s="361"/>
      <c r="H113" s="361"/>
      <c r="I113" s="361"/>
      <c r="J113" s="361"/>
      <c r="K113" s="361"/>
      <c r="L113" s="361"/>
      <c r="M113" s="362"/>
      <c r="N113" s="26">
        <v>3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</row>
    <row r="114" spans="1:223" ht="13.5" customHeight="1" x14ac:dyDescent="0.25">
      <c r="A114" s="28">
        <v>85</v>
      </c>
      <c r="B114" s="25"/>
      <c r="C114" s="360" t="s">
        <v>132</v>
      </c>
      <c r="D114" s="361"/>
      <c r="E114" s="361"/>
      <c r="F114" s="361"/>
      <c r="G114" s="361"/>
      <c r="H114" s="361"/>
      <c r="I114" s="361"/>
      <c r="J114" s="361"/>
      <c r="K114" s="361"/>
      <c r="L114" s="361"/>
      <c r="M114" s="362"/>
      <c r="N114" s="26">
        <v>1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</row>
    <row r="115" spans="1:223" ht="13.5" customHeight="1" x14ac:dyDescent="0.25">
      <c r="A115" s="27">
        <v>86</v>
      </c>
      <c r="B115" s="25"/>
      <c r="C115" s="363" t="s">
        <v>133</v>
      </c>
      <c r="D115" s="361"/>
      <c r="E115" s="361"/>
      <c r="F115" s="361"/>
      <c r="G115" s="361"/>
      <c r="H115" s="361"/>
      <c r="I115" s="361"/>
      <c r="J115" s="361"/>
      <c r="K115" s="361"/>
      <c r="L115" s="361"/>
      <c r="M115" s="362"/>
      <c r="N115" s="26">
        <v>4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</row>
    <row r="116" spans="1:223" ht="13.5" customHeight="1" x14ac:dyDescent="0.25">
      <c r="A116" s="28">
        <v>87</v>
      </c>
      <c r="B116" s="25"/>
      <c r="C116" s="360" t="s">
        <v>134</v>
      </c>
      <c r="D116" s="361"/>
      <c r="E116" s="361"/>
      <c r="F116" s="361"/>
      <c r="G116" s="361"/>
      <c r="H116" s="361"/>
      <c r="I116" s="361"/>
      <c r="J116" s="361"/>
      <c r="K116" s="361"/>
      <c r="L116" s="361"/>
      <c r="M116" s="362"/>
      <c r="N116" s="26">
        <v>2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</row>
    <row r="117" spans="1:223" ht="13.5" customHeight="1" x14ac:dyDescent="0.25">
      <c r="A117" s="27">
        <v>88</v>
      </c>
      <c r="B117" s="25"/>
      <c r="C117" s="363" t="s">
        <v>135</v>
      </c>
      <c r="D117" s="361"/>
      <c r="E117" s="361"/>
      <c r="F117" s="361"/>
      <c r="G117" s="361"/>
      <c r="H117" s="361"/>
      <c r="I117" s="361"/>
      <c r="J117" s="361"/>
      <c r="K117" s="361"/>
      <c r="L117" s="361"/>
      <c r="M117" s="362"/>
      <c r="N117" s="26">
        <v>9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</row>
    <row r="118" spans="1:223" ht="13.5" customHeight="1" x14ac:dyDescent="0.25">
      <c r="A118" s="28">
        <v>89</v>
      </c>
      <c r="B118" s="25"/>
      <c r="C118" s="360" t="s">
        <v>136</v>
      </c>
      <c r="D118" s="361"/>
      <c r="E118" s="361"/>
      <c r="F118" s="361"/>
      <c r="G118" s="361"/>
      <c r="H118" s="361"/>
      <c r="I118" s="361"/>
      <c r="J118" s="361"/>
      <c r="K118" s="361"/>
      <c r="L118" s="361"/>
      <c r="M118" s="362"/>
      <c r="N118" s="26">
        <v>7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</row>
    <row r="119" spans="1:223" ht="13.5" customHeight="1" x14ac:dyDescent="0.25">
      <c r="A119" s="27">
        <v>90</v>
      </c>
      <c r="B119" s="25"/>
      <c r="C119" s="363" t="s">
        <v>137</v>
      </c>
      <c r="D119" s="361"/>
      <c r="E119" s="361"/>
      <c r="F119" s="361"/>
      <c r="G119" s="361"/>
      <c r="H119" s="361"/>
      <c r="I119" s="361"/>
      <c r="J119" s="361"/>
      <c r="K119" s="361"/>
      <c r="L119" s="361"/>
      <c r="M119" s="362"/>
      <c r="N119" s="26">
        <v>8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</row>
    <row r="120" spans="1:223" ht="13.5" customHeight="1" x14ac:dyDescent="0.25">
      <c r="A120" s="28">
        <v>91</v>
      </c>
      <c r="B120" s="25"/>
      <c r="C120" s="360" t="s">
        <v>138</v>
      </c>
      <c r="D120" s="361"/>
      <c r="E120" s="361"/>
      <c r="F120" s="361"/>
      <c r="G120" s="361"/>
      <c r="H120" s="361"/>
      <c r="I120" s="361"/>
      <c r="J120" s="361"/>
      <c r="K120" s="361"/>
      <c r="L120" s="361"/>
      <c r="M120" s="362"/>
      <c r="N120" s="26">
        <v>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</row>
    <row r="121" spans="1:223" ht="13.5" customHeight="1" x14ac:dyDescent="0.25">
      <c r="A121" s="27">
        <v>92</v>
      </c>
      <c r="B121" s="25"/>
      <c r="C121" s="363" t="s">
        <v>139</v>
      </c>
      <c r="D121" s="361"/>
      <c r="E121" s="361"/>
      <c r="F121" s="361"/>
      <c r="G121" s="361"/>
      <c r="H121" s="361"/>
      <c r="I121" s="361"/>
      <c r="J121" s="361"/>
      <c r="K121" s="361"/>
      <c r="L121" s="361"/>
      <c r="M121" s="362"/>
      <c r="N121" s="26">
        <v>7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</row>
    <row r="122" spans="1:223" ht="13.5" customHeight="1" x14ac:dyDescent="0.25">
      <c r="A122" s="28">
        <v>93</v>
      </c>
      <c r="B122" s="25"/>
      <c r="C122" s="360" t="s">
        <v>140</v>
      </c>
      <c r="D122" s="361"/>
      <c r="E122" s="361"/>
      <c r="F122" s="361"/>
      <c r="G122" s="361"/>
      <c r="H122" s="361"/>
      <c r="I122" s="361"/>
      <c r="J122" s="361"/>
      <c r="K122" s="361"/>
      <c r="L122" s="361"/>
      <c r="M122" s="362"/>
      <c r="N122" s="26">
        <v>9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</row>
    <row r="123" spans="1:223" ht="13.5" customHeight="1" x14ac:dyDescent="0.25">
      <c r="A123" s="27">
        <v>94</v>
      </c>
      <c r="B123" s="25"/>
      <c r="C123" s="363" t="s">
        <v>141</v>
      </c>
      <c r="D123" s="361"/>
      <c r="E123" s="361"/>
      <c r="F123" s="361"/>
      <c r="G123" s="361"/>
      <c r="H123" s="361"/>
      <c r="I123" s="361"/>
      <c r="J123" s="361"/>
      <c r="K123" s="361"/>
      <c r="L123" s="361"/>
      <c r="M123" s="362"/>
      <c r="N123" s="26">
        <v>6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</row>
    <row r="124" spans="1:223" ht="13.5" customHeight="1" x14ac:dyDescent="0.25">
      <c r="A124" s="28">
        <v>95</v>
      </c>
      <c r="B124" s="25"/>
      <c r="C124" s="360" t="s">
        <v>142</v>
      </c>
      <c r="D124" s="361"/>
      <c r="E124" s="361"/>
      <c r="F124" s="361"/>
      <c r="G124" s="361"/>
      <c r="H124" s="361"/>
      <c r="I124" s="361"/>
      <c r="J124" s="361"/>
      <c r="K124" s="361"/>
      <c r="L124" s="361"/>
      <c r="M124" s="362"/>
      <c r="N124" s="26">
        <v>8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</row>
    <row r="125" spans="1:223" ht="13.5" customHeight="1" x14ac:dyDescent="0.25">
      <c r="A125" s="27">
        <v>96</v>
      </c>
      <c r="B125" s="25"/>
      <c r="C125" s="363" t="s">
        <v>143</v>
      </c>
      <c r="D125" s="361"/>
      <c r="E125" s="361"/>
      <c r="F125" s="361"/>
      <c r="G125" s="361"/>
      <c r="H125" s="361"/>
      <c r="I125" s="361"/>
      <c r="J125" s="361"/>
      <c r="K125" s="361"/>
      <c r="L125" s="361"/>
      <c r="M125" s="362"/>
      <c r="N125" s="26">
        <v>3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</row>
    <row r="126" spans="1:223" ht="13.5" customHeight="1" x14ac:dyDescent="0.25">
      <c r="A126" s="28">
        <v>97</v>
      </c>
      <c r="B126" s="25"/>
      <c r="C126" s="360" t="s">
        <v>144</v>
      </c>
      <c r="D126" s="361"/>
      <c r="E126" s="361"/>
      <c r="F126" s="361"/>
      <c r="G126" s="361"/>
      <c r="H126" s="361"/>
      <c r="I126" s="361"/>
      <c r="J126" s="361"/>
      <c r="K126" s="361"/>
      <c r="L126" s="361"/>
      <c r="M126" s="362"/>
      <c r="N126" s="26">
        <v>1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</row>
    <row r="127" spans="1:223" ht="13.5" customHeight="1" x14ac:dyDescent="0.25">
      <c r="A127" s="27">
        <v>98</v>
      </c>
      <c r="B127" s="25"/>
      <c r="C127" s="363" t="s">
        <v>145</v>
      </c>
      <c r="D127" s="361"/>
      <c r="E127" s="361"/>
      <c r="F127" s="361"/>
      <c r="G127" s="361"/>
      <c r="H127" s="361"/>
      <c r="I127" s="361"/>
      <c r="J127" s="361"/>
      <c r="K127" s="361"/>
      <c r="L127" s="361"/>
      <c r="M127" s="362"/>
      <c r="N127" s="26">
        <v>2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</row>
    <row r="128" spans="1:223" ht="13.5" customHeight="1" x14ac:dyDescent="0.25">
      <c r="A128" s="28">
        <v>99</v>
      </c>
      <c r="B128" s="25"/>
      <c r="C128" s="360" t="s">
        <v>146</v>
      </c>
      <c r="D128" s="361"/>
      <c r="E128" s="361"/>
      <c r="F128" s="361"/>
      <c r="G128" s="361"/>
      <c r="H128" s="361"/>
      <c r="I128" s="361"/>
      <c r="J128" s="361"/>
      <c r="K128" s="361"/>
      <c r="L128" s="361"/>
      <c r="M128" s="362"/>
      <c r="N128" s="26">
        <v>4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</row>
    <row r="129" spans="1:223" ht="13.5" customHeight="1" x14ac:dyDescent="0.25">
      <c r="A129" s="27">
        <v>100</v>
      </c>
      <c r="B129" s="25"/>
      <c r="C129" s="363" t="s">
        <v>147</v>
      </c>
      <c r="D129" s="361"/>
      <c r="E129" s="361"/>
      <c r="F129" s="361"/>
      <c r="G129" s="361"/>
      <c r="H129" s="361"/>
      <c r="I129" s="361"/>
      <c r="J129" s="361"/>
      <c r="K129" s="361"/>
      <c r="L129" s="361"/>
      <c r="M129" s="362"/>
      <c r="N129" s="26">
        <v>5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</row>
    <row r="130" spans="1:223" ht="13.5" customHeight="1" x14ac:dyDescent="0.25">
      <c r="A130" s="28">
        <v>101</v>
      </c>
      <c r="B130" s="25"/>
      <c r="C130" s="360" t="s">
        <v>148</v>
      </c>
      <c r="D130" s="361"/>
      <c r="E130" s="361"/>
      <c r="F130" s="361"/>
      <c r="G130" s="361"/>
      <c r="H130" s="361"/>
      <c r="I130" s="361"/>
      <c r="J130" s="361"/>
      <c r="K130" s="361"/>
      <c r="L130" s="361"/>
      <c r="M130" s="362"/>
      <c r="N130" s="26">
        <v>7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</row>
    <row r="131" spans="1:223" ht="13.5" customHeight="1" x14ac:dyDescent="0.25">
      <c r="A131" s="27">
        <v>102</v>
      </c>
      <c r="B131" s="25"/>
      <c r="C131" s="363" t="s">
        <v>149</v>
      </c>
      <c r="D131" s="361"/>
      <c r="E131" s="361"/>
      <c r="F131" s="361"/>
      <c r="G131" s="361"/>
      <c r="H131" s="361"/>
      <c r="I131" s="361"/>
      <c r="J131" s="361"/>
      <c r="K131" s="361"/>
      <c r="L131" s="361"/>
      <c r="M131" s="362"/>
      <c r="N131" s="26">
        <v>6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</row>
    <row r="132" spans="1:223" ht="13.5" customHeight="1" x14ac:dyDescent="0.25">
      <c r="A132" s="28">
        <v>103</v>
      </c>
      <c r="B132" s="25"/>
      <c r="C132" s="360" t="s">
        <v>150</v>
      </c>
      <c r="D132" s="361"/>
      <c r="E132" s="361"/>
      <c r="F132" s="361"/>
      <c r="G132" s="361"/>
      <c r="H132" s="361"/>
      <c r="I132" s="361"/>
      <c r="J132" s="361"/>
      <c r="K132" s="361"/>
      <c r="L132" s="361"/>
      <c r="M132" s="362"/>
      <c r="N132" s="26">
        <v>3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</row>
    <row r="133" spans="1:223" ht="13.5" customHeight="1" x14ac:dyDescent="0.25">
      <c r="A133" s="27">
        <v>104</v>
      </c>
      <c r="B133" s="25"/>
      <c r="C133" s="363" t="s">
        <v>151</v>
      </c>
      <c r="D133" s="361"/>
      <c r="E133" s="361"/>
      <c r="F133" s="361"/>
      <c r="G133" s="361"/>
      <c r="H133" s="361"/>
      <c r="I133" s="361"/>
      <c r="J133" s="361"/>
      <c r="K133" s="361"/>
      <c r="L133" s="361"/>
      <c r="M133" s="362"/>
      <c r="N133" s="26">
        <v>4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</row>
    <row r="134" spans="1:223" ht="13.5" customHeight="1" x14ac:dyDescent="0.25">
      <c r="A134" s="28">
        <v>105</v>
      </c>
      <c r="B134" s="25"/>
      <c r="C134" s="360" t="s">
        <v>152</v>
      </c>
      <c r="D134" s="361"/>
      <c r="E134" s="361"/>
      <c r="F134" s="361"/>
      <c r="G134" s="361"/>
      <c r="H134" s="361"/>
      <c r="I134" s="361"/>
      <c r="J134" s="361"/>
      <c r="K134" s="361"/>
      <c r="L134" s="361"/>
      <c r="M134" s="362"/>
      <c r="N134" s="26">
        <v>2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</row>
    <row r="135" spans="1:223" ht="13.5" customHeight="1" x14ac:dyDescent="0.25">
      <c r="A135" s="27">
        <v>106</v>
      </c>
      <c r="B135" s="25"/>
      <c r="C135" s="363" t="s">
        <v>153</v>
      </c>
      <c r="D135" s="361"/>
      <c r="E135" s="361"/>
      <c r="F135" s="361"/>
      <c r="G135" s="361"/>
      <c r="H135" s="361"/>
      <c r="I135" s="361"/>
      <c r="J135" s="361"/>
      <c r="K135" s="361"/>
      <c r="L135" s="361"/>
      <c r="M135" s="362"/>
      <c r="N135" s="26">
        <v>1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</row>
    <row r="136" spans="1:223" ht="13.5" customHeight="1" x14ac:dyDescent="0.25">
      <c r="A136" s="28">
        <v>107</v>
      </c>
      <c r="B136" s="25"/>
      <c r="C136" s="360" t="s">
        <v>154</v>
      </c>
      <c r="D136" s="361"/>
      <c r="E136" s="361"/>
      <c r="F136" s="361"/>
      <c r="G136" s="361"/>
      <c r="H136" s="361"/>
      <c r="I136" s="361"/>
      <c r="J136" s="361"/>
      <c r="K136" s="361"/>
      <c r="L136" s="361"/>
      <c r="M136" s="362"/>
      <c r="N136" s="26">
        <v>8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</row>
    <row r="137" spans="1:223" ht="13.5" customHeight="1" x14ac:dyDescent="0.25">
      <c r="A137" s="27">
        <v>108</v>
      </c>
      <c r="B137" s="25"/>
      <c r="C137" s="363" t="s">
        <v>155</v>
      </c>
      <c r="D137" s="361"/>
      <c r="E137" s="361"/>
      <c r="F137" s="361"/>
      <c r="G137" s="361"/>
      <c r="H137" s="361"/>
      <c r="I137" s="361"/>
      <c r="J137" s="361"/>
      <c r="K137" s="361"/>
      <c r="L137" s="361"/>
      <c r="M137" s="362"/>
      <c r="N137" s="26">
        <v>9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</row>
    <row r="138" spans="1:223" ht="13.5" customHeight="1" x14ac:dyDescent="0.25">
      <c r="A138" s="28">
        <v>109</v>
      </c>
      <c r="B138" s="25"/>
      <c r="C138" s="360" t="s">
        <v>156</v>
      </c>
      <c r="D138" s="361"/>
      <c r="E138" s="361"/>
      <c r="F138" s="361"/>
      <c r="G138" s="361"/>
      <c r="H138" s="361"/>
      <c r="I138" s="361"/>
      <c r="J138" s="361"/>
      <c r="K138" s="361"/>
      <c r="L138" s="361"/>
      <c r="M138" s="362"/>
      <c r="N138" s="26">
        <v>2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</row>
    <row r="139" spans="1:223" ht="13.5" customHeight="1" x14ac:dyDescent="0.25">
      <c r="A139" s="27">
        <v>110</v>
      </c>
      <c r="B139" s="25"/>
      <c r="C139" s="363" t="s">
        <v>157</v>
      </c>
      <c r="D139" s="361"/>
      <c r="E139" s="361"/>
      <c r="F139" s="361"/>
      <c r="G139" s="361"/>
      <c r="H139" s="361"/>
      <c r="I139" s="361"/>
      <c r="J139" s="361"/>
      <c r="K139" s="361"/>
      <c r="L139" s="361"/>
      <c r="M139" s="362"/>
      <c r="N139" s="26">
        <v>7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</row>
    <row r="140" spans="1:223" ht="13.5" customHeight="1" x14ac:dyDescent="0.25">
      <c r="A140" s="28">
        <v>111</v>
      </c>
      <c r="B140" s="25"/>
      <c r="C140" s="360" t="s">
        <v>158</v>
      </c>
      <c r="D140" s="361"/>
      <c r="E140" s="361"/>
      <c r="F140" s="361"/>
      <c r="G140" s="361"/>
      <c r="H140" s="361"/>
      <c r="I140" s="361"/>
      <c r="J140" s="361"/>
      <c r="K140" s="361"/>
      <c r="L140" s="361"/>
      <c r="M140" s="362"/>
      <c r="N140" s="26">
        <v>8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</row>
    <row r="141" spans="1:223" ht="13.5" customHeight="1" x14ac:dyDescent="0.25">
      <c r="A141" s="27">
        <v>112</v>
      </c>
      <c r="B141" s="25"/>
      <c r="C141" s="363" t="s">
        <v>159</v>
      </c>
      <c r="D141" s="361"/>
      <c r="E141" s="361"/>
      <c r="F141" s="361"/>
      <c r="G141" s="361"/>
      <c r="H141" s="361"/>
      <c r="I141" s="361"/>
      <c r="J141" s="361"/>
      <c r="K141" s="361"/>
      <c r="L141" s="361"/>
      <c r="M141" s="362"/>
      <c r="N141" s="26">
        <v>5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</row>
    <row r="142" spans="1:223" ht="13.5" customHeight="1" x14ac:dyDescent="0.25">
      <c r="A142" s="28">
        <v>113</v>
      </c>
      <c r="B142" s="25"/>
      <c r="C142" s="360" t="s">
        <v>160</v>
      </c>
      <c r="D142" s="361"/>
      <c r="E142" s="361"/>
      <c r="F142" s="361"/>
      <c r="G142" s="361"/>
      <c r="H142" s="361"/>
      <c r="I142" s="361"/>
      <c r="J142" s="361"/>
      <c r="K142" s="361"/>
      <c r="L142" s="361"/>
      <c r="M142" s="362"/>
      <c r="N142" s="26">
        <v>3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</row>
    <row r="143" spans="1:223" ht="13.5" customHeight="1" x14ac:dyDescent="0.25">
      <c r="A143" s="27">
        <v>114</v>
      </c>
      <c r="B143" s="25"/>
      <c r="C143" s="363" t="s">
        <v>161</v>
      </c>
      <c r="D143" s="361"/>
      <c r="E143" s="361"/>
      <c r="F143" s="361"/>
      <c r="G143" s="361"/>
      <c r="H143" s="361"/>
      <c r="I143" s="361"/>
      <c r="J143" s="361"/>
      <c r="K143" s="361"/>
      <c r="L143" s="361"/>
      <c r="M143" s="362"/>
      <c r="N143" s="26">
        <v>4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</row>
    <row r="144" spans="1:223" ht="13.5" customHeight="1" x14ac:dyDescent="0.25">
      <c r="A144" s="28">
        <v>115</v>
      </c>
      <c r="B144" s="25"/>
      <c r="C144" s="360" t="s">
        <v>162</v>
      </c>
      <c r="D144" s="361"/>
      <c r="E144" s="361"/>
      <c r="F144" s="361"/>
      <c r="G144" s="361"/>
      <c r="H144" s="361"/>
      <c r="I144" s="361"/>
      <c r="J144" s="361"/>
      <c r="K144" s="361"/>
      <c r="L144" s="361"/>
      <c r="M144" s="362"/>
      <c r="N144" s="26">
        <v>6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</row>
    <row r="145" spans="1:223" ht="13.5" customHeight="1" x14ac:dyDescent="0.25">
      <c r="A145" s="27">
        <v>116</v>
      </c>
      <c r="B145" s="25"/>
      <c r="C145" s="363" t="s">
        <v>163</v>
      </c>
      <c r="D145" s="361"/>
      <c r="E145" s="361"/>
      <c r="F145" s="361"/>
      <c r="G145" s="361"/>
      <c r="H145" s="361"/>
      <c r="I145" s="361"/>
      <c r="J145" s="361"/>
      <c r="K145" s="361"/>
      <c r="L145" s="361"/>
      <c r="M145" s="362"/>
      <c r="N145" s="26">
        <v>1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</row>
    <row r="146" spans="1:223" ht="13.5" customHeight="1" x14ac:dyDescent="0.25">
      <c r="A146" s="28">
        <v>117</v>
      </c>
      <c r="B146" s="25"/>
      <c r="C146" s="360" t="s">
        <v>164</v>
      </c>
      <c r="D146" s="361"/>
      <c r="E146" s="361"/>
      <c r="F146" s="361"/>
      <c r="G146" s="361"/>
      <c r="H146" s="361"/>
      <c r="I146" s="361"/>
      <c r="J146" s="361"/>
      <c r="K146" s="361"/>
      <c r="L146" s="361"/>
      <c r="M146" s="362"/>
      <c r="N146" s="26">
        <v>9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</row>
    <row r="147" spans="1:223" ht="13.5" customHeight="1" x14ac:dyDescent="0.25">
      <c r="A147" s="27">
        <v>118</v>
      </c>
      <c r="B147" s="25"/>
      <c r="C147" s="363" t="s">
        <v>165</v>
      </c>
      <c r="D147" s="361"/>
      <c r="E147" s="361"/>
      <c r="F147" s="361"/>
      <c r="G147" s="361"/>
      <c r="H147" s="361"/>
      <c r="I147" s="361"/>
      <c r="J147" s="361"/>
      <c r="K147" s="361"/>
      <c r="L147" s="361"/>
      <c r="M147" s="362"/>
      <c r="N147" s="26">
        <v>3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</row>
    <row r="148" spans="1:223" ht="13.5" customHeight="1" x14ac:dyDescent="0.25">
      <c r="A148" s="28">
        <v>119</v>
      </c>
      <c r="B148" s="25"/>
      <c r="C148" s="360" t="s">
        <v>166</v>
      </c>
      <c r="D148" s="361"/>
      <c r="E148" s="361"/>
      <c r="F148" s="361"/>
      <c r="G148" s="361"/>
      <c r="H148" s="361"/>
      <c r="I148" s="361"/>
      <c r="J148" s="361"/>
      <c r="K148" s="361"/>
      <c r="L148" s="361"/>
      <c r="M148" s="362"/>
      <c r="N148" s="26">
        <v>7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</row>
    <row r="149" spans="1:223" ht="13.5" customHeight="1" x14ac:dyDescent="0.25">
      <c r="A149" s="27">
        <v>120</v>
      </c>
      <c r="B149" s="25"/>
      <c r="C149" s="363" t="s">
        <v>167</v>
      </c>
      <c r="D149" s="361"/>
      <c r="E149" s="361"/>
      <c r="F149" s="361"/>
      <c r="G149" s="361"/>
      <c r="H149" s="361"/>
      <c r="I149" s="361"/>
      <c r="J149" s="361"/>
      <c r="K149" s="361"/>
      <c r="L149" s="361"/>
      <c r="M149" s="362"/>
      <c r="N149" s="26">
        <v>1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</row>
    <row r="150" spans="1:223" ht="13.5" customHeight="1" x14ac:dyDescent="0.25">
      <c r="A150" s="28">
        <v>121</v>
      </c>
      <c r="B150" s="25"/>
      <c r="C150" s="360" t="s">
        <v>168</v>
      </c>
      <c r="D150" s="361"/>
      <c r="E150" s="361"/>
      <c r="F150" s="361"/>
      <c r="G150" s="361"/>
      <c r="H150" s="361"/>
      <c r="I150" s="361"/>
      <c r="J150" s="361"/>
      <c r="K150" s="361"/>
      <c r="L150" s="361"/>
      <c r="M150" s="362"/>
      <c r="N150" s="26">
        <v>5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</row>
    <row r="151" spans="1:223" ht="13.5" customHeight="1" x14ac:dyDescent="0.25">
      <c r="A151" s="27">
        <v>122</v>
      </c>
      <c r="B151" s="25"/>
      <c r="C151" s="363" t="s">
        <v>169</v>
      </c>
      <c r="D151" s="361"/>
      <c r="E151" s="361"/>
      <c r="F151" s="361"/>
      <c r="G151" s="361"/>
      <c r="H151" s="361"/>
      <c r="I151" s="361"/>
      <c r="J151" s="361"/>
      <c r="K151" s="361"/>
      <c r="L151" s="361"/>
      <c r="M151" s="362"/>
      <c r="N151" s="26">
        <v>2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</row>
    <row r="152" spans="1:223" ht="13.5" customHeight="1" x14ac:dyDescent="0.25">
      <c r="A152" s="28">
        <v>123</v>
      </c>
      <c r="B152" s="25"/>
      <c r="C152" s="360" t="s">
        <v>170</v>
      </c>
      <c r="D152" s="361"/>
      <c r="E152" s="361"/>
      <c r="F152" s="361"/>
      <c r="G152" s="361"/>
      <c r="H152" s="361"/>
      <c r="I152" s="361"/>
      <c r="J152" s="361"/>
      <c r="K152" s="361"/>
      <c r="L152" s="361"/>
      <c r="M152" s="362"/>
      <c r="N152" s="26">
        <v>4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</row>
    <row r="153" spans="1:223" ht="13.5" customHeight="1" x14ac:dyDescent="0.25">
      <c r="A153" s="27">
        <v>124</v>
      </c>
      <c r="B153" s="25"/>
      <c r="C153" s="363" t="s">
        <v>171</v>
      </c>
      <c r="D153" s="361"/>
      <c r="E153" s="361"/>
      <c r="F153" s="361"/>
      <c r="G153" s="361"/>
      <c r="H153" s="361"/>
      <c r="I153" s="361"/>
      <c r="J153" s="361"/>
      <c r="K153" s="361"/>
      <c r="L153" s="361"/>
      <c r="M153" s="362"/>
      <c r="N153" s="26">
        <v>8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</row>
    <row r="154" spans="1:223" ht="13.5" customHeight="1" x14ac:dyDescent="0.25">
      <c r="A154" s="28">
        <v>125</v>
      </c>
      <c r="B154" s="25"/>
      <c r="C154" s="360" t="s">
        <v>172</v>
      </c>
      <c r="D154" s="361"/>
      <c r="E154" s="361"/>
      <c r="F154" s="361"/>
      <c r="G154" s="361"/>
      <c r="H154" s="361"/>
      <c r="I154" s="361"/>
      <c r="J154" s="361"/>
      <c r="K154" s="361"/>
      <c r="L154" s="361"/>
      <c r="M154" s="362"/>
      <c r="N154" s="26">
        <v>9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</row>
    <row r="155" spans="1:223" ht="13.5" customHeight="1" x14ac:dyDescent="0.25">
      <c r="A155" s="27">
        <v>126</v>
      </c>
      <c r="B155" s="25"/>
      <c r="C155" s="363" t="s">
        <v>173</v>
      </c>
      <c r="D155" s="361"/>
      <c r="E155" s="361"/>
      <c r="F155" s="361"/>
      <c r="G155" s="361"/>
      <c r="H155" s="361"/>
      <c r="I155" s="361"/>
      <c r="J155" s="361"/>
      <c r="K155" s="361"/>
      <c r="L155" s="361"/>
      <c r="M155" s="362"/>
      <c r="N155" s="26">
        <v>6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</row>
    <row r="156" spans="1:223" ht="13.5" customHeight="1" x14ac:dyDescent="0.25">
      <c r="A156" s="28">
        <v>127</v>
      </c>
      <c r="B156" s="25"/>
      <c r="C156" s="360" t="s">
        <v>174</v>
      </c>
      <c r="D156" s="361"/>
      <c r="E156" s="361"/>
      <c r="F156" s="361"/>
      <c r="G156" s="361"/>
      <c r="H156" s="361"/>
      <c r="I156" s="361"/>
      <c r="J156" s="361"/>
      <c r="K156" s="361"/>
      <c r="L156" s="361"/>
      <c r="M156" s="362"/>
      <c r="N156" s="26">
        <v>6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</row>
    <row r="157" spans="1:223" ht="13.5" customHeight="1" x14ac:dyDescent="0.25">
      <c r="A157" s="27">
        <v>128</v>
      </c>
      <c r="B157" s="25"/>
      <c r="C157" s="363" t="s">
        <v>175</v>
      </c>
      <c r="D157" s="361"/>
      <c r="E157" s="361"/>
      <c r="F157" s="361"/>
      <c r="G157" s="361"/>
      <c r="H157" s="361"/>
      <c r="I157" s="361"/>
      <c r="J157" s="361"/>
      <c r="K157" s="361"/>
      <c r="L157" s="361"/>
      <c r="M157" s="362"/>
      <c r="N157" s="26">
        <v>1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</row>
    <row r="158" spans="1:223" ht="13.5" customHeight="1" x14ac:dyDescent="0.25">
      <c r="A158" s="28">
        <v>129</v>
      </c>
      <c r="B158" s="25"/>
      <c r="C158" s="360" t="s">
        <v>176</v>
      </c>
      <c r="D158" s="361"/>
      <c r="E158" s="361"/>
      <c r="F158" s="361"/>
      <c r="G158" s="361"/>
      <c r="H158" s="361"/>
      <c r="I158" s="361"/>
      <c r="J158" s="361"/>
      <c r="K158" s="361"/>
      <c r="L158" s="361"/>
      <c r="M158" s="362"/>
      <c r="N158" s="26">
        <v>2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</row>
    <row r="159" spans="1:223" ht="13.5" customHeight="1" x14ac:dyDescent="0.25">
      <c r="A159" s="27">
        <v>130</v>
      </c>
      <c r="B159" s="25"/>
      <c r="C159" s="363" t="s">
        <v>177</v>
      </c>
      <c r="D159" s="361"/>
      <c r="E159" s="361"/>
      <c r="F159" s="361"/>
      <c r="G159" s="361"/>
      <c r="H159" s="361"/>
      <c r="I159" s="361"/>
      <c r="J159" s="361"/>
      <c r="K159" s="361"/>
      <c r="L159" s="361"/>
      <c r="M159" s="362"/>
      <c r="N159" s="26">
        <v>8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</row>
    <row r="160" spans="1:223" ht="13.5" customHeight="1" x14ac:dyDescent="0.25">
      <c r="A160" s="28">
        <v>131</v>
      </c>
      <c r="B160" s="25"/>
      <c r="C160" s="360" t="s">
        <v>178</v>
      </c>
      <c r="D160" s="361"/>
      <c r="E160" s="361"/>
      <c r="F160" s="361"/>
      <c r="G160" s="361"/>
      <c r="H160" s="361"/>
      <c r="I160" s="361"/>
      <c r="J160" s="361"/>
      <c r="K160" s="361"/>
      <c r="L160" s="361"/>
      <c r="M160" s="362"/>
      <c r="N160" s="26">
        <v>3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</row>
    <row r="161" spans="1:223" ht="13.5" customHeight="1" x14ac:dyDescent="0.25">
      <c r="A161" s="27">
        <v>132</v>
      </c>
      <c r="B161" s="25"/>
      <c r="C161" s="363" t="s">
        <v>179</v>
      </c>
      <c r="D161" s="361"/>
      <c r="E161" s="361"/>
      <c r="F161" s="361"/>
      <c r="G161" s="361"/>
      <c r="H161" s="361"/>
      <c r="I161" s="361"/>
      <c r="J161" s="361"/>
      <c r="K161" s="361"/>
      <c r="L161" s="361"/>
      <c r="M161" s="362"/>
      <c r="N161" s="26">
        <v>7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</row>
    <row r="162" spans="1:223" ht="13.5" customHeight="1" x14ac:dyDescent="0.25">
      <c r="A162" s="28">
        <v>133</v>
      </c>
      <c r="B162" s="25"/>
      <c r="C162" s="360" t="s">
        <v>180</v>
      </c>
      <c r="D162" s="361"/>
      <c r="E162" s="361"/>
      <c r="F162" s="361"/>
      <c r="G162" s="361"/>
      <c r="H162" s="361"/>
      <c r="I162" s="361"/>
      <c r="J162" s="361"/>
      <c r="K162" s="361"/>
      <c r="L162" s="361"/>
      <c r="M162" s="362"/>
      <c r="N162" s="26">
        <v>5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</row>
    <row r="163" spans="1:223" ht="13.5" customHeight="1" x14ac:dyDescent="0.25">
      <c r="A163" s="27">
        <v>134</v>
      </c>
      <c r="B163" s="25"/>
      <c r="C163" s="363" t="s">
        <v>181</v>
      </c>
      <c r="D163" s="361"/>
      <c r="E163" s="361"/>
      <c r="F163" s="361"/>
      <c r="G163" s="361"/>
      <c r="H163" s="361"/>
      <c r="I163" s="361"/>
      <c r="J163" s="361"/>
      <c r="K163" s="361"/>
      <c r="L163" s="361"/>
      <c r="M163" s="362"/>
      <c r="N163" s="26">
        <v>4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</row>
    <row r="164" spans="1:223" ht="13.5" customHeight="1" x14ac:dyDescent="0.25">
      <c r="A164" s="28">
        <v>135</v>
      </c>
      <c r="B164" s="25"/>
      <c r="C164" s="360" t="s">
        <v>182</v>
      </c>
      <c r="D164" s="361"/>
      <c r="E164" s="361"/>
      <c r="F164" s="361"/>
      <c r="G164" s="361"/>
      <c r="H164" s="361"/>
      <c r="I164" s="361"/>
      <c r="J164" s="361"/>
      <c r="K164" s="361"/>
      <c r="L164" s="361"/>
      <c r="M164" s="362"/>
      <c r="N164" s="26">
        <v>9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</row>
    <row r="165" spans="1:223" ht="13.5" customHeight="1" x14ac:dyDescent="0.25">
      <c r="A165" s="27">
        <v>136</v>
      </c>
      <c r="B165" s="25"/>
      <c r="C165" s="363" t="s">
        <v>183</v>
      </c>
      <c r="D165" s="361"/>
      <c r="E165" s="361"/>
      <c r="F165" s="361"/>
      <c r="G165" s="361"/>
      <c r="H165" s="361"/>
      <c r="I165" s="361"/>
      <c r="J165" s="361"/>
      <c r="K165" s="361"/>
      <c r="L165" s="361"/>
      <c r="M165" s="362"/>
      <c r="N165" s="26">
        <v>9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</row>
    <row r="166" spans="1:223" ht="13.5" customHeight="1" x14ac:dyDescent="0.25">
      <c r="A166" s="28">
        <v>137</v>
      </c>
      <c r="B166" s="25"/>
      <c r="C166" s="360" t="s">
        <v>184</v>
      </c>
      <c r="D166" s="361"/>
      <c r="E166" s="361"/>
      <c r="F166" s="361"/>
      <c r="G166" s="361"/>
      <c r="H166" s="361"/>
      <c r="I166" s="361"/>
      <c r="J166" s="361"/>
      <c r="K166" s="361"/>
      <c r="L166" s="361"/>
      <c r="M166" s="362"/>
      <c r="N166" s="26">
        <v>6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</row>
    <row r="167" spans="1:223" ht="13.5" customHeight="1" x14ac:dyDescent="0.25">
      <c r="A167" s="27">
        <v>138</v>
      </c>
      <c r="B167" s="25"/>
      <c r="C167" s="363" t="s">
        <v>185</v>
      </c>
      <c r="D167" s="361"/>
      <c r="E167" s="361"/>
      <c r="F167" s="361"/>
      <c r="G167" s="361"/>
      <c r="H167" s="361"/>
      <c r="I167" s="361"/>
      <c r="J167" s="361"/>
      <c r="K167" s="361"/>
      <c r="L167" s="361"/>
      <c r="M167" s="362"/>
      <c r="N167" s="26">
        <v>7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</row>
    <row r="168" spans="1:223" ht="13.5" customHeight="1" x14ac:dyDescent="0.25">
      <c r="A168" s="28">
        <v>139</v>
      </c>
      <c r="B168" s="25"/>
      <c r="C168" s="360" t="s">
        <v>186</v>
      </c>
      <c r="D168" s="361"/>
      <c r="E168" s="361"/>
      <c r="F168" s="361"/>
      <c r="G168" s="361"/>
      <c r="H168" s="361"/>
      <c r="I168" s="361"/>
      <c r="J168" s="361"/>
      <c r="K168" s="361"/>
      <c r="L168" s="361"/>
      <c r="M168" s="362"/>
      <c r="N168" s="26">
        <v>5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</row>
    <row r="169" spans="1:223" ht="13.5" customHeight="1" x14ac:dyDescent="0.25">
      <c r="A169" s="27">
        <v>140</v>
      </c>
      <c r="B169" s="25"/>
      <c r="C169" s="363" t="s">
        <v>187</v>
      </c>
      <c r="D169" s="361"/>
      <c r="E169" s="361"/>
      <c r="F169" s="361"/>
      <c r="G169" s="361"/>
      <c r="H169" s="361"/>
      <c r="I169" s="361"/>
      <c r="J169" s="361"/>
      <c r="K169" s="361"/>
      <c r="L169" s="361"/>
      <c r="M169" s="362"/>
      <c r="N169" s="26">
        <v>4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</row>
    <row r="170" spans="1:223" ht="13.5" customHeight="1" x14ac:dyDescent="0.25">
      <c r="A170" s="28">
        <v>141</v>
      </c>
      <c r="B170" s="25"/>
      <c r="C170" s="360" t="s">
        <v>188</v>
      </c>
      <c r="D170" s="361"/>
      <c r="E170" s="361"/>
      <c r="F170" s="361"/>
      <c r="G170" s="361"/>
      <c r="H170" s="361"/>
      <c r="I170" s="361"/>
      <c r="J170" s="361"/>
      <c r="K170" s="361"/>
      <c r="L170" s="361"/>
      <c r="M170" s="362"/>
      <c r="N170" s="26">
        <v>3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</row>
    <row r="171" spans="1:223" ht="13.5" customHeight="1" x14ac:dyDescent="0.25">
      <c r="A171" s="27">
        <v>142</v>
      </c>
      <c r="B171" s="25"/>
      <c r="C171" s="363" t="s">
        <v>189</v>
      </c>
      <c r="D171" s="361"/>
      <c r="E171" s="361"/>
      <c r="F171" s="361"/>
      <c r="G171" s="361"/>
      <c r="H171" s="361"/>
      <c r="I171" s="361"/>
      <c r="J171" s="361"/>
      <c r="K171" s="361"/>
      <c r="L171" s="361"/>
      <c r="M171" s="362"/>
      <c r="N171" s="26">
        <v>2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</row>
    <row r="172" spans="1:223" ht="13.5" customHeight="1" x14ac:dyDescent="0.25">
      <c r="A172" s="28">
        <v>143</v>
      </c>
      <c r="B172" s="25"/>
      <c r="C172" s="360" t="s">
        <v>190</v>
      </c>
      <c r="D172" s="361"/>
      <c r="E172" s="361"/>
      <c r="F172" s="361"/>
      <c r="G172" s="361"/>
      <c r="H172" s="361"/>
      <c r="I172" s="361"/>
      <c r="J172" s="361"/>
      <c r="K172" s="361"/>
      <c r="L172" s="361"/>
      <c r="M172" s="362"/>
      <c r="N172" s="26">
        <v>8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</row>
    <row r="173" spans="1:223" ht="13.5" customHeight="1" x14ac:dyDescent="0.25">
      <c r="A173" s="27">
        <v>144</v>
      </c>
      <c r="B173" s="25"/>
      <c r="C173" s="363" t="s">
        <v>191</v>
      </c>
      <c r="D173" s="361"/>
      <c r="E173" s="361"/>
      <c r="F173" s="361"/>
      <c r="G173" s="361"/>
      <c r="H173" s="361"/>
      <c r="I173" s="361"/>
      <c r="J173" s="361"/>
      <c r="K173" s="361"/>
      <c r="L173" s="361"/>
      <c r="M173" s="362"/>
      <c r="N173" s="26">
        <v>1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</row>
    <row r="174" spans="1:223" ht="13.5" customHeight="1" x14ac:dyDescent="0.25">
      <c r="A174" s="28">
        <v>145</v>
      </c>
      <c r="B174" s="25"/>
      <c r="C174" s="360" t="s">
        <v>192</v>
      </c>
      <c r="D174" s="361"/>
      <c r="E174" s="361"/>
      <c r="F174" s="361"/>
      <c r="G174" s="361"/>
      <c r="H174" s="361"/>
      <c r="I174" s="361"/>
      <c r="J174" s="361"/>
      <c r="K174" s="361"/>
      <c r="L174" s="361"/>
      <c r="M174" s="362"/>
      <c r="N174" s="26">
        <v>6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</row>
    <row r="175" spans="1:223" ht="13.5" customHeight="1" x14ac:dyDescent="0.25">
      <c r="A175" s="27">
        <v>146</v>
      </c>
      <c r="B175" s="25"/>
      <c r="C175" s="363" t="s">
        <v>193</v>
      </c>
      <c r="D175" s="361"/>
      <c r="E175" s="361"/>
      <c r="F175" s="361"/>
      <c r="G175" s="361"/>
      <c r="H175" s="361"/>
      <c r="I175" s="361"/>
      <c r="J175" s="361"/>
      <c r="K175" s="361"/>
      <c r="L175" s="361"/>
      <c r="M175" s="362"/>
      <c r="N175" s="26">
        <v>4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</row>
    <row r="176" spans="1:223" ht="13.5" customHeight="1" x14ac:dyDescent="0.25">
      <c r="A176" s="28">
        <v>147</v>
      </c>
      <c r="B176" s="25"/>
      <c r="C176" s="360" t="s">
        <v>194</v>
      </c>
      <c r="D176" s="361"/>
      <c r="E176" s="361"/>
      <c r="F176" s="361"/>
      <c r="G176" s="361"/>
      <c r="H176" s="361"/>
      <c r="I176" s="361"/>
      <c r="J176" s="361"/>
      <c r="K176" s="361"/>
      <c r="L176" s="361"/>
      <c r="M176" s="362"/>
      <c r="N176" s="26">
        <v>9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</row>
    <row r="177" spans="1:223" ht="13.5" customHeight="1" x14ac:dyDescent="0.25">
      <c r="A177" s="27">
        <v>148</v>
      </c>
      <c r="B177" s="25"/>
      <c r="C177" s="363" t="s">
        <v>195</v>
      </c>
      <c r="D177" s="361"/>
      <c r="E177" s="361"/>
      <c r="F177" s="361"/>
      <c r="G177" s="361"/>
      <c r="H177" s="361"/>
      <c r="I177" s="361"/>
      <c r="J177" s="361"/>
      <c r="K177" s="361"/>
      <c r="L177" s="361"/>
      <c r="M177" s="362"/>
      <c r="N177" s="26">
        <v>7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</row>
    <row r="178" spans="1:223" ht="13.5" customHeight="1" x14ac:dyDescent="0.25">
      <c r="A178" s="28">
        <v>149</v>
      </c>
      <c r="B178" s="25"/>
      <c r="C178" s="360" t="s">
        <v>196</v>
      </c>
      <c r="D178" s="361"/>
      <c r="E178" s="361"/>
      <c r="F178" s="361"/>
      <c r="G178" s="361"/>
      <c r="H178" s="361"/>
      <c r="I178" s="361"/>
      <c r="J178" s="361"/>
      <c r="K178" s="361"/>
      <c r="L178" s="361"/>
      <c r="M178" s="362"/>
      <c r="N178" s="26">
        <v>2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</row>
    <row r="179" spans="1:223" ht="13.5" customHeight="1" x14ac:dyDescent="0.25">
      <c r="A179" s="27">
        <v>150</v>
      </c>
      <c r="B179" s="25"/>
      <c r="C179" s="363" t="s">
        <v>197</v>
      </c>
      <c r="D179" s="361"/>
      <c r="E179" s="361"/>
      <c r="F179" s="361"/>
      <c r="G179" s="361"/>
      <c r="H179" s="361"/>
      <c r="I179" s="361"/>
      <c r="J179" s="361"/>
      <c r="K179" s="361"/>
      <c r="L179" s="361"/>
      <c r="M179" s="362"/>
      <c r="N179" s="26">
        <v>5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</row>
    <row r="180" spans="1:223" ht="13.5" customHeight="1" x14ac:dyDescent="0.25">
      <c r="A180" s="28">
        <v>151</v>
      </c>
      <c r="B180" s="25"/>
      <c r="C180" s="360" t="s">
        <v>198</v>
      </c>
      <c r="D180" s="361"/>
      <c r="E180" s="361"/>
      <c r="F180" s="361"/>
      <c r="G180" s="361"/>
      <c r="H180" s="361"/>
      <c r="I180" s="361"/>
      <c r="J180" s="361"/>
      <c r="K180" s="361"/>
      <c r="L180" s="361"/>
      <c r="M180" s="362"/>
      <c r="N180" s="26">
        <v>3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</row>
    <row r="181" spans="1:223" ht="13.5" customHeight="1" x14ac:dyDescent="0.25">
      <c r="A181" s="27">
        <v>152</v>
      </c>
      <c r="B181" s="25"/>
      <c r="C181" s="363" t="s">
        <v>199</v>
      </c>
      <c r="D181" s="361"/>
      <c r="E181" s="361"/>
      <c r="F181" s="361"/>
      <c r="G181" s="361"/>
      <c r="H181" s="361"/>
      <c r="I181" s="361"/>
      <c r="J181" s="361"/>
      <c r="K181" s="361"/>
      <c r="L181" s="361"/>
      <c r="M181" s="362"/>
      <c r="N181" s="26">
        <v>1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</row>
    <row r="182" spans="1:223" ht="13.5" customHeight="1" x14ac:dyDescent="0.25">
      <c r="A182" s="28">
        <v>153</v>
      </c>
      <c r="B182" s="25"/>
      <c r="C182" s="360" t="s">
        <v>200</v>
      </c>
      <c r="D182" s="361"/>
      <c r="E182" s="361"/>
      <c r="F182" s="361"/>
      <c r="G182" s="361"/>
      <c r="H182" s="361"/>
      <c r="I182" s="361"/>
      <c r="J182" s="361"/>
      <c r="K182" s="361"/>
      <c r="L182" s="361"/>
      <c r="M182" s="362"/>
      <c r="N182" s="26">
        <v>8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</row>
    <row r="183" spans="1:223" ht="13.5" customHeight="1" x14ac:dyDescent="0.25">
      <c r="A183" s="27">
        <v>154</v>
      </c>
      <c r="B183" s="25"/>
      <c r="C183" s="363" t="s">
        <v>201</v>
      </c>
      <c r="D183" s="361"/>
      <c r="E183" s="361"/>
      <c r="F183" s="361"/>
      <c r="G183" s="361"/>
      <c r="H183" s="361"/>
      <c r="I183" s="361"/>
      <c r="J183" s="361"/>
      <c r="K183" s="361"/>
      <c r="L183" s="361"/>
      <c r="M183" s="362"/>
      <c r="N183" s="26">
        <v>3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</row>
    <row r="184" spans="1:223" ht="13.5" customHeight="1" x14ac:dyDescent="0.25">
      <c r="A184" s="28">
        <v>155</v>
      </c>
      <c r="B184" s="25"/>
      <c r="C184" s="360" t="s">
        <v>202</v>
      </c>
      <c r="D184" s="361"/>
      <c r="E184" s="361"/>
      <c r="F184" s="361"/>
      <c r="G184" s="361"/>
      <c r="H184" s="361"/>
      <c r="I184" s="361"/>
      <c r="J184" s="361"/>
      <c r="K184" s="361"/>
      <c r="L184" s="361"/>
      <c r="M184" s="362"/>
      <c r="N184" s="26">
        <v>6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</row>
    <row r="185" spans="1:223" ht="13.5" customHeight="1" x14ac:dyDescent="0.25">
      <c r="A185" s="27">
        <v>156</v>
      </c>
      <c r="B185" s="25"/>
      <c r="C185" s="363" t="s">
        <v>203</v>
      </c>
      <c r="D185" s="361"/>
      <c r="E185" s="361"/>
      <c r="F185" s="361"/>
      <c r="G185" s="361"/>
      <c r="H185" s="361"/>
      <c r="I185" s="361"/>
      <c r="J185" s="361"/>
      <c r="K185" s="361"/>
      <c r="L185" s="361"/>
      <c r="M185" s="362"/>
      <c r="N185" s="26">
        <v>2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</row>
    <row r="186" spans="1:223" ht="13.5" customHeight="1" x14ac:dyDescent="0.25">
      <c r="A186" s="28">
        <v>157</v>
      </c>
      <c r="B186" s="25"/>
      <c r="C186" s="360" t="s">
        <v>204</v>
      </c>
      <c r="D186" s="361"/>
      <c r="E186" s="361"/>
      <c r="F186" s="361"/>
      <c r="G186" s="361"/>
      <c r="H186" s="361"/>
      <c r="I186" s="361"/>
      <c r="J186" s="361"/>
      <c r="K186" s="361"/>
      <c r="L186" s="361"/>
      <c r="M186" s="362"/>
      <c r="N186" s="26">
        <v>5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</row>
    <row r="187" spans="1:223" ht="13.5" customHeight="1" x14ac:dyDescent="0.25">
      <c r="A187" s="27">
        <v>158</v>
      </c>
      <c r="B187" s="25"/>
      <c r="C187" s="363" t="s">
        <v>205</v>
      </c>
      <c r="D187" s="361"/>
      <c r="E187" s="361"/>
      <c r="F187" s="361"/>
      <c r="G187" s="361"/>
      <c r="H187" s="361"/>
      <c r="I187" s="361"/>
      <c r="J187" s="361"/>
      <c r="K187" s="361"/>
      <c r="L187" s="361"/>
      <c r="M187" s="362"/>
      <c r="N187" s="26">
        <v>4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</row>
    <row r="188" spans="1:223" ht="13.5" customHeight="1" x14ac:dyDescent="0.25">
      <c r="A188" s="28">
        <v>159</v>
      </c>
      <c r="B188" s="25"/>
      <c r="C188" s="360" t="s">
        <v>206</v>
      </c>
      <c r="D188" s="361"/>
      <c r="E188" s="361"/>
      <c r="F188" s="361"/>
      <c r="G188" s="361"/>
      <c r="H188" s="361"/>
      <c r="I188" s="361"/>
      <c r="J188" s="361"/>
      <c r="K188" s="361"/>
      <c r="L188" s="361"/>
      <c r="M188" s="362"/>
      <c r="N188" s="26">
        <v>1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</row>
    <row r="189" spans="1:223" ht="13.5" customHeight="1" x14ac:dyDescent="0.25">
      <c r="A189" s="27">
        <v>160</v>
      </c>
      <c r="B189" s="25"/>
      <c r="C189" s="363" t="s">
        <v>207</v>
      </c>
      <c r="D189" s="361"/>
      <c r="E189" s="361"/>
      <c r="F189" s="361"/>
      <c r="G189" s="361"/>
      <c r="H189" s="361"/>
      <c r="I189" s="361"/>
      <c r="J189" s="361"/>
      <c r="K189" s="361"/>
      <c r="L189" s="361"/>
      <c r="M189" s="362"/>
      <c r="N189" s="26">
        <v>7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</row>
    <row r="190" spans="1:223" ht="13.5" customHeight="1" x14ac:dyDescent="0.25">
      <c r="A190" s="28">
        <v>161</v>
      </c>
      <c r="B190" s="25"/>
      <c r="C190" s="360" t="s">
        <v>208</v>
      </c>
      <c r="D190" s="361"/>
      <c r="E190" s="361"/>
      <c r="F190" s="361"/>
      <c r="G190" s="361"/>
      <c r="H190" s="361"/>
      <c r="I190" s="361"/>
      <c r="J190" s="361"/>
      <c r="K190" s="361"/>
      <c r="L190" s="361"/>
      <c r="M190" s="362"/>
      <c r="N190" s="26">
        <v>9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</row>
    <row r="191" spans="1:223" ht="13.5" customHeight="1" x14ac:dyDescent="0.25">
      <c r="A191" s="27">
        <v>162</v>
      </c>
      <c r="B191" s="25"/>
      <c r="C191" s="363" t="s">
        <v>209</v>
      </c>
      <c r="D191" s="361"/>
      <c r="E191" s="361"/>
      <c r="F191" s="361"/>
      <c r="G191" s="361"/>
      <c r="H191" s="361"/>
      <c r="I191" s="361"/>
      <c r="J191" s="361"/>
      <c r="K191" s="361"/>
      <c r="L191" s="361"/>
      <c r="M191" s="362"/>
      <c r="N191" s="26">
        <v>8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</row>
    <row r="192" spans="1:223" ht="13.5" customHeight="1" x14ac:dyDescent="0.25">
      <c r="A192" s="28">
        <v>163</v>
      </c>
      <c r="B192" s="25"/>
      <c r="C192" s="360" t="s">
        <v>210</v>
      </c>
      <c r="D192" s="361"/>
      <c r="E192" s="361"/>
      <c r="F192" s="361"/>
      <c r="G192" s="361"/>
      <c r="H192" s="361"/>
      <c r="I192" s="361"/>
      <c r="J192" s="361"/>
      <c r="K192" s="361"/>
      <c r="L192" s="361"/>
      <c r="M192" s="362"/>
      <c r="N192" s="26">
        <v>6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</row>
    <row r="193" spans="1:223" ht="13.5" customHeight="1" x14ac:dyDescent="0.25">
      <c r="A193" s="27">
        <v>164</v>
      </c>
      <c r="B193" s="25"/>
      <c r="C193" s="363" t="s">
        <v>211</v>
      </c>
      <c r="D193" s="361"/>
      <c r="E193" s="361"/>
      <c r="F193" s="361"/>
      <c r="G193" s="361"/>
      <c r="H193" s="361"/>
      <c r="I193" s="361"/>
      <c r="J193" s="361"/>
      <c r="K193" s="361"/>
      <c r="L193" s="361"/>
      <c r="M193" s="362"/>
      <c r="N193" s="26">
        <v>5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</row>
    <row r="194" spans="1:223" ht="13.5" customHeight="1" x14ac:dyDescent="0.25">
      <c r="A194" s="28">
        <v>165</v>
      </c>
      <c r="B194" s="25"/>
      <c r="C194" s="360" t="s">
        <v>212</v>
      </c>
      <c r="D194" s="361"/>
      <c r="E194" s="361"/>
      <c r="F194" s="361"/>
      <c r="G194" s="361"/>
      <c r="H194" s="361"/>
      <c r="I194" s="361"/>
      <c r="J194" s="361"/>
      <c r="K194" s="361"/>
      <c r="L194" s="361"/>
      <c r="M194" s="362"/>
      <c r="N194" s="26">
        <v>9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</row>
    <row r="195" spans="1:223" ht="13.5" customHeight="1" x14ac:dyDescent="0.25">
      <c r="A195" s="27">
        <v>166</v>
      </c>
      <c r="B195" s="25"/>
      <c r="C195" s="363" t="s">
        <v>213</v>
      </c>
      <c r="D195" s="361"/>
      <c r="E195" s="361"/>
      <c r="F195" s="361"/>
      <c r="G195" s="361"/>
      <c r="H195" s="361"/>
      <c r="I195" s="361"/>
      <c r="J195" s="361"/>
      <c r="K195" s="361"/>
      <c r="L195" s="361"/>
      <c r="M195" s="362"/>
      <c r="N195" s="26">
        <v>7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</row>
    <row r="196" spans="1:223" ht="13.5" customHeight="1" x14ac:dyDescent="0.25">
      <c r="A196" s="28">
        <v>167</v>
      </c>
      <c r="B196" s="25"/>
      <c r="C196" s="360" t="s">
        <v>214</v>
      </c>
      <c r="D196" s="361"/>
      <c r="E196" s="361"/>
      <c r="F196" s="361"/>
      <c r="G196" s="361"/>
      <c r="H196" s="361"/>
      <c r="I196" s="361"/>
      <c r="J196" s="361"/>
      <c r="K196" s="361"/>
      <c r="L196" s="361"/>
      <c r="M196" s="362"/>
      <c r="N196" s="26">
        <v>4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</row>
    <row r="197" spans="1:223" ht="13.5" customHeight="1" x14ac:dyDescent="0.25">
      <c r="A197" s="27">
        <v>168</v>
      </c>
      <c r="B197" s="25"/>
      <c r="C197" s="363" t="s">
        <v>215</v>
      </c>
      <c r="D197" s="361"/>
      <c r="E197" s="361"/>
      <c r="F197" s="361"/>
      <c r="G197" s="361"/>
      <c r="H197" s="361"/>
      <c r="I197" s="361"/>
      <c r="J197" s="361"/>
      <c r="K197" s="361"/>
      <c r="L197" s="361"/>
      <c r="M197" s="362"/>
      <c r="N197" s="26">
        <v>1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</row>
    <row r="198" spans="1:223" ht="13.5" customHeight="1" x14ac:dyDescent="0.25">
      <c r="A198" s="28">
        <v>169</v>
      </c>
      <c r="B198" s="25"/>
      <c r="C198" s="360" t="s">
        <v>216</v>
      </c>
      <c r="D198" s="361"/>
      <c r="E198" s="361"/>
      <c r="F198" s="361"/>
      <c r="G198" s="361"/>
      <c r="H198" s="361"/>
      <c r="I198" s="361"/>
      <c r="J198" s="361"/>
      <c r="K198" s="361"/>
      <c r="L198" s="361"/>
      <c r="M198" s="362"/>
      <c r="N198" s="26">
        <v>3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</row>
    <row r="199" spans="1:223" ht="13.5" customHeight="1" x14ac:dyDescent="0.25">
      <c r="A199" s="27">
        <v>170</v>
      </c>
      <c r="B199" s="25"/>
      <c r="C199" s="363" t="s">
        <v>217</v>
      </c>
      <c r="D199" s="361"/>
      <c r="E199" s="361"/>
      <c r="F199" s="361"/>
      <c r="G199" s="361"/>
      <c r="H199" s="361"/>
      <c r="I199" s="361"/>
      <c r="J199" s="361"/>
      <c r="K199" s="361"/>
      <c r="L199" s="361"/>
      <c r="M199" s="362"/>
      <c r="N199" s="26">
        <v>2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</row>
    <row r="200" spans="1:223" ht="13.5" customHeight="1" x14ac:dyDescent="0.25">
      <c r="A200" s="28">
        <v>171</v>
      </c>
      <c r="B200" s="25"/>
      <c r="C200" s="360" t="s">
        <v>218</v>
      </c>
      <c r="D200" s="361"/>
      <c r="E200" s="361"/>
      <c r="F200" s="361"/>
      <c r="G200" s="361"/>
      <c r="H200" s="361"/>
      <c r="I200" s="361"/>
      <c r="J200" s="361"/>
      <c r="K200" s="361"/>
      <c r="L200" s="361"/>
      <c r="M200" s="362"/>
      <c r="N200" s="26">
        <v>8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</row>
    <row r="201" spans="1:223" ht="13.5" customHeight="1" x14ac:dyDescent="0.25">
      <c r="A201" s="27">
        <v>172</v>
      </c>
      <c r="B201" s="25"/>
      <c r="C201" s="363" t="s">
        <v>219</v>
      </c>
      <c r="D201" s="361"/>
      <c r="E201" s="361"/>
      <c r="F201" s="361"/>
      <c r="G201" s="361"/>
      <c r="H201" s="361"/>
      <c r="I201" s="361"/>
      <c r="J201" s="361"/>
      <c r="K201" s="361"/>
      <c r="L201" s="361"/>
      <c r="M201" s="362"/>
      <c r="N201" s="26">
        <v>7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</row>
    <row r="202" spans="1:223" ht="13.5" customHeight="1" x14ac:dyDescent="0.25">
      <c r="A202" s="28">
        <v>173</v>
      </c>
      <c r="B202" s="25"/>
      <c r="C202" s="360" t="s">
        <v>220</v>
      </c>
      <c r="D202" s="361"/>
      <c r="E202" s="361"/>
      <c r="F202" s="361"/>
      <c r="G202" s="361"/>
      <c r="H202" s="361"/>
      <c r="I202" s="361"/>
      <c r="J202" s="361"/>
      <c r="K202" s="361"/>
      <c r="L202" s="361"/>
      <c r="M202" s="362"/>
      <c r="N202" s="26">
        <v>6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</row>
    <row r="203" spans="1:223" ht="13.5" customHeight="1" x14ac:dyDescent="0.25">
      <c r="A203" s="27">
        <v>174</v>
      </c>
      <c r="B203" s="25"/>
      <c r="C203" s="363" t="s">
        <v>221</v>
      </c>
      <c r="D203" s="361"/>
      <c r="E203" s="361"/>
      <c r="F203" s="361"/>
      <c r="G203" s="361"/>
      <c r="H203" s="361"/>
      <c r="I203" s="361"/>
      <c r="J203" s="361"/>
      <c r="K203" s="361"/>
      <c r="L203" s="361"/>
      <c r="M203" s="362"/>
      <c r="N203" s="26">
        <v>4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</row>
    <row r="204" spans="1:223" ht="13.5" customHeight="1" x14ac:dyDescent="0.25">
      <c r="A204" s="28">
        <v>175</v>
      </c>
      <c r="B204" s="25"/>
      <c r="C204" s="360" t="s">
        <v>222</v>
      </c>
      <c r="D204" s="361"/>
      <c r="E204" s="361"/>
      <c r="F204" s="361"/>
      <c r="G204" s="361"/>
      <c r="H204" s="361"/>
      <c r="I204" s="361"/>
      <c r="J204" s="361"/>
      <c r="K204" s="361"/>
      <c r="L204" s="361"/>
      <c r="M204" s="362"/>
      <c r="N204" s="26">
        <v>9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</row>
    <row r="205" spans="1:223" ht="13.5" customHeight="1" x14ac:dyDescent="0.25">
      <c r="A205" s="27">
        <v>176</v>
      </c>
      <c r="B205" s="25"/>
      <c r="C205" s="363" t="s">
        <v>223</v>
      </c>
      <c r="D205" s="361"/>
      <c r="E205" s="361"/>
      <c r="F205" s="361"/>
      <c r="G205" s="361"/>
      <c r="H205" s="361"/>
      <c r="I205" s="361"/>
      <c r="J205" s="361"/>
      <c r="K205" s="361"/>
      <c r="L205" s="361"/>
      <c r="M205" s="362"/>
      <c r="N205" s="26">
        <v>8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</row>
    <row r="206" spans="1:223" ht="13.5" customHeight="1" x14ac:dyDescent="0.25">
      <c r="A206" s="28">
        <v>177</v>
      </c>
      <c r="B206" s="25"/>
      <c r="C206" s="360" t="s">
        <v>224</v>
      </c>
      <c r="D206" s="361"/>
      <c r="E206" s="361"/>
      <c r="F206" s="361"/>
      <c r="G206" s="361"/>
      <c r="H206" s="361"/>
      <c r="I206" s="361"/>
      <c r="J206" s="361"/>
      <c r="K206" s="361"/>
      <c r="L206" s="361"/>
      <c r="M206" s="362"/>
      <c r="N206" s="26">
        <v>5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</row>
    <row r="207" spans="1:223" ht="13.5" customHeight="1" x14ac:dyDescent="0.25">
      <c r="A207" s="27">
        <v>178</v>
      </c>
      <c r="B207" s="25"/>
      <c r="C207" s="363" t="s">
        <v>225</v>
      </c>
      <c r="D207" s="361"/>
      <c r="E207" s="361"/>
      <c r="F207" s="361"/>
      <c r="G207" s="361"/>
      <c r="H207" s="361"/>
      <c r="I207" s="361"/>
      <c r="J207" s="361"/>
      <c r="K207" s="361"/>
      <c r="L207" s="361"/>
      <c r="M207" s="362"/>
      <c r="N207" s="26">
        <v>3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</row>
    <row r="208" spans="1:223" ht="13.5" customHeight="1" x14ac:dyDescent="0.25">
      <c r="A208" s="28">
        <v>179</v>
      </c>
      <c r="B208" s="25"/>
      <c r="C208" s="360" t="s">
        <v>226</v>
      </c>
      <c r="D208" s="361"/>
      <c r="E208" s="361"/>
      <c r="F208" s="361"/>
      <c r="G208" s="361"/>
      <c r="H208" s="361"/>
      <c r="I208" s="361"/>
      <c r="J208" s="361"/>
      <c r="K208" s="361"/>
      <c r="L208" s="361"/>
      <c r="M208" s="362"/>
      <c r="N208" s="26">
        <v>2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</row>
    <row r="209" spans="1:223" ht="13.5" customHeight="1" x14ac:dyDescent="0.25">
      <c r="A209" s="27">
        <v>180</v>
      </c>
      <c r="B209" s="25"/>
      <c r="C209" s="363" t="s">
        <v>227</v>
      </c>
      <c r="D209" s="361"/>
      <c r="E209" s="361"/>
      <c r="F209" s="361"/>
      <c r="G209" s="361"/>
      <c r="H209" s="361"/>
      <c r="I209" s="361"/>
      <c r="J209" s="361"/>
      <c r="K209" s="361"/>
      <c r="L209" s="361"/>
      <c r="M209" s="362"/>
      <c r="N209" s="26">
        <v>1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</row>
    <row r="210" spans="1:223" ht="13.5" customHeight="1" x14ac:dyDescent="0.25">
      <c r="A210" s="28">
        <v>181</v>
      </c>
      <c r="B210" s="25"/>
      <c r="C210" s="360" t="s">
        <v>228</v>
      </c>
      <c r="D210" s="361"/>
      <c r="E210" s="361"/>
      <c r="F210" s="361"/>
      <c r="G210" s="361"/>
      <c r="H210" s="361"/>
      <c r="I210" s="361"/>
      <c r="J210" s="361"/>
      <c r="K210" s="361"/>
      <c r="L210" s="361"/>
      <c r="M210" s="362"/>
      <c r="N210" s="26">
        <v>8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</row>
    <row r="211" spans="1:223" ht="13.5" customHeight="1" x14ac:dyDescent="0.25">
      <c r="A211" s="27">
        <v>182</v>
      </c>
      <c r="B211" s="25"/>
      <c r="C211" s="363" t="s">
        <v>229</v>
      </c>
      <c r="D211" s="361"/>
      <c r="E211" s="361"/>
      <c r="F211" s="361"/>
      <c r="G211" s="361"/>
      <c r="H211" s="361"/>
      <c r="I211" s="361"/>
      <c r="J211" s="361"/>
      <c r="K211" s="361"/>
      <c r="L211" s="361"/>
      <c r="M211" s="362"/>
      <c r="N211" s="26">
        <v>9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</row>
    <row r="212" spans="1:223" ht="13.5" customHeight="1" x14ac:dyDescent="0.25">
      <c r="A212" s="28">
        <v>183</v>
      </c>
      <c r="B212" s="25"/>
      <c r="C212" s="360" t="s">
        <v>230</v>
      </c>
      <c r="D212" s="361"/>
      <c r="E212" s="361"/>
      <c r="F212" s="361"/>
      <c r="G212" s="361"/>
      <c r="H212" s="361"/>
      <c r="I212" s="361"/>
      <c r="J212" s="361"/>
      <c r="K212" s="361"/>
      <c r="L212" s="361"/>
      <c r="M212" s="362"/>
      <c r="N212" s="26">
        <v>2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</row>
    <row r="213" spans="1:223" ht="13.5" customHeight="1" x14ac:dyDescent="0.25">
      <c r="A213" s="27">
        <v>184</v>
      </c>
      <c r="B213" s="25"/>
      <c r="C213" s="363" t="s">
        <v>231</v>
      </c>
      <c r="D213" s="361"/>
      <c r="E213" s="361"/>
      <c r="F213" s="361"/>
      <c r="G213" s="361"/>
      <c r="H213" s="361"/>
      <c r="I213" s="361"/>
      <c r="J213" s="361"/>
      <c r="K213" s="361"/>
      <c r="L213" s="361"/>
      <c r="M213" s="362"/>
      <c r="N213" s="26">
        <v>3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</row>
    <row r="214" spans="1:223" ht="13.5" customHeight="1" x14ac:dyDescent="0.25">
      <c r="A214" s="28">
        <v>185</v>
      </c>
      <c r="B214" s="25"/>
      <c r="C214" s="360" t="s">
        <v>232</v>
      </c>
      <c r="D214" s="361"/>
      <c r="E214" s="361"/>
      <c r="F214" s="361"/>
      <c r="G214" s="361"/>
      <c r="H214" s="361"/>
      <c r="I214" s="361"/>
      <c r="J214" s="361"/>
      <c r="K214" s="361"/>
      <c r="L214" s="361"/>
      <c r="M214" s="362"/>
      <c r="N214" s="26">
        <v>1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</row>
    <row r="215" spans="1:223" ht="13.5" customHeight="1" x14ac:dyDescent="0.25">
      <c r="A215" s="27">
        <v>186</v>
      </c>
      <c r="B215" s="25"/>
      <c r="C215" s="363" t="s">
        <v>233</v>
      </c>
      <c r="D215" s="361"/>
      <c r="E215" s="361"/>
      <c r="F215" s="361"/>
      <c r="G215" s="361"/>
      <c r="H215" s="361"/>
      <c r="I215" s="361"/>
      <c r="J215" s="361"/>
      <c r="K215" s="361"/>
      <c r="L215" s="361"/>
      <c r="M215" s="362"/>
      <c r="N215" s="26">
        <v>5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</row>
    <row r="216" spans="1:223" ht="13.5" customHeight="1" x14ac:dyDescent="0.25">
      <c r="A216" s="28">
        <v>187</v>
      </c>
      <c r="B216" s="25"/>
      <c r="C216" s="360" t="s">
        <v>234</v>
      </c>
      <c r="D216" s="361"/>
      <c r="E216" s="361"/>
      <c r="F216" s="361"/>
      <c r="G216" s="361"/>
      <c r="H216" s="361"/>
      <c r="I216" s="361"/>
      <c r="J216" s="361"/>
      <c r="K216" s="361"/>
      <c r="L216" s="361"/>
      <c r="M216" s="362"/>
      <c r="N216" s="26">
        <v>4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</row>
    <row r="217" spans="1:223" ht="13.5" customHeight="1" x14ac:dyDescent="0.25">
      <c r="A217" s="27">
        <v>188</v>
      </c>
      <c r="B217" s="25"/>
      <c r="C217" s="363" t="s">
        <v>235</v>
      </c>
      <c r="D217" s="361"/>
      <c r="E217" s="361"/>
      <c r="F217" s="361"/>
      <c r="G217" s="361"/>
      <c r="H217" s="361"/>
      <c r="I217" s="361"/>
      <c r="J217" s="361"/>
      <c r="K217" s="361"/>
      <c r="L217" s="361"/>
      <c r="M217" s="362"/>
      <c r="N217" s="26">
        <v>7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</row>
    <row r="218" spans="1:223" ht="13.5" customHeight="1" x14ac:dyDescent="0.25">
      <c r="A218" s="28">
        <v>189</v>
      </c>
      <c r="B218" s="25"/>
      <c r="C218" s="360" t="s">
        <v>236</v>
      </c>
      <c r="D218" s="361"/>
      <c r="E218" s="361"/>
      <c r="F218" s="361"/>
      <c r="G218" s="361"/>
      <c r="H218" s="361"/>
      <c r="I218" s="361"/>
      <c r="J218" s="361"/>
      <c r="K218" s="361"/>
      <c r="L218" s="361"/>
      <c r="M218" s="362"/>
      <c r="N218" s="26">
        <v>6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</row>
    <row r="219" spans="1:223" ht="13.5" customHeight="1" x14ac:dyDescent="0.25">
      <c r="A219" s="27">
        <v>190</v>
      </c>
      <c r="B219" s="25"/>
      <c r="C219" s="363" t="s">
        <v>237</v>
      </c>
      <c r="D219" s="361"/>
      <c r="E219" s="361"/>
      <c r="F219" s="361"/>
      <c r="G219" s="361"/>
      <c r="H219" s="361"/>
      <c r="I219" s="361"/>
      <c r="J219" s="361"/>
      <c r="K219" s="361"/>
      <c r="L219" s="361"/>
      <c r="M219" s="362"/>
      <c r="N219" s="26">
        <v>5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</row>
    <row r="220" spans="1:223" ht="13.5" customHeight="1" x14ac:dyDescent="0.25">
      <c r="A220" s="28">
        <v>191</v>
      </c>
      <c r="B220" s="25"/>
      <c r="C220" s="360" t="s">
        <v>238</v>
      </c>
      <c r="D220" s="361"/>
      <c r="E220" s="361"/>
      <c r="F220" s="361"/>
      <c r="G220" s="361"/>
      <c r="H220" s="361"/>
      <c r="I220" s="361"/>
      <c r="J220" s="361"/>
      <c r="K220" s="361"/>
      <c r="L220" s="361"/>
      <c r="M220" s="362"/>
      <c r="N220" s="26">
        <v>6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</row>
    <row r="221" spans="1:223" ht="13.5" customHeight="1" x14ac:dyDescent="0.25">
      <c r="A221" s="27">
        <v>192</v>
      </c>
      <c r="B221" s="25"/>
      <c r="C221" s="363" t="s">
        <v>239</v>
      </c>
      <c r="D221" s="361"/>
      <c r="E221" s="361"/>
      <c r="F221" s="361"/>
      <c r="G221" s="361"/>
      <c r="H221" s="361"/>
      <c r="I221" s="361"/>
      <c r="J221" s="361"/>
      <c r="K221" s="361"/>
      <c r="L221" s="361"/>
      <c r="M221" s="362"/>
      <c r="N221" s="26">
        <v>2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</row>
    <row r="222" spans="1:223" ht="13.5" customHeight="1" x14ac:dyDescent="0.25">
      <c r="A222" s="28">
        <v>193</v>
      </c>
      <c r="B222" s="25"/>
      <c r="C222" s="360" t="s">
        <v>240</v>
      </c>
      <c r="D222" s="361"/>
      <c r="E222" s="361"/>
      <c r="F222" s="361"/>
      <c r="G222" s="361"/>
      <c r="H222" s="361"/>
      <c r="I222" s="361"/>
      <c r="J222" s="361"/>
      <c r="K222" s="361"/>
      <c r="L222" s="361"/>
      <c r="M222" s="362"/>
      <c r="N222" s="26">
        <v>7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</row>
    <row r="223" spans="1:223" ht="13.5" customHeight="1" x14ac:dyDescent="0.25">
      <c r="A223" s="27">
        <v>194</v>
      </c>
      <c r="B223" s="25"/>
      <c r="C223" s="363" t="s">
        <v>241</v>
      </c>
      <c r="D223" s="361"/>
      <c r="E223" s="361"/>
      <c r="F223" s="361"/>
      <c r="G223" s="361"/>
      <c r="H223" s="361"/>
      <c r="I223" s="361"/>
      <c r="J223" s="361"/>
      <c r="K223" s="361"/>
      <c r="L223" s="361"/>
      <c r="M223" s="362"/>
      <c r="N223" s="26">
        <v>3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</row>
    <row r="224" spans="1:223" ht="13.5" customHeight="1" x14ac:dyDescent="0.25">
      <c r="A224" s="28">
        <v>195</v>
      </c>
      <c r="B224" s="25"/>
      <c r="C224" s="360" t="s">
        <v>242</v>
      </c>
      <c r="D224" s="361"/>
      <c r="E224" s="361"/>
      <c r="F224" s="361"/>
      <c r="G224" s="361"/>
      <c r="H224" s="361"/>
      <c r="I224" s="361"/>
      <c r="J224" s="361"/>
      <c r="K224" s="361"/>
      <c r="L224" s="361"/>
      <c r="M224" s="362"/>
      <c r="N224" s="26">
        <v>9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</row>
    <row r="225" spans="1:223" ht="13.5" customHeight="1" x14ac:dyDescent="0.25">
      <c r="A225" s="27">
        <v>196</v>
      </c>
      <c r="B225" s="25"/>
      <c r="C225" s="363" t="s">
        <v>243</v>
      </c>
      <c r="D225" s="361"/>
      <c r="E225" s="361"/>
      <c r="F225" s="361"/>
      <c r="G225" s="361"/>
      <c r="H225" s="361"/>
      <c r="I225" s="361"/>
      <c r="J225" s="361"/>
      <c r="K225" s="361"/>
      <c r="L225" s="361"/>
      <c r="M225" s="362"/>
      <c r="N225" s="26">
        <v>4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</row>
    <row r="226" spans="1:223" ht="13.5" customHeight="1" x14ac:dyDescent="0.25">
      <c r="A226" s="28">
        <v>197</v>
      </c>
      <c r="B226" s="25"/>
      <c r="C226" s="360" t="s">
        <v>244</v>
      </c>
      <c r="D226" s="361"/>
      <c r="E226" s="361"/>
      <c r="F226" s="361"/>
      <c r="G226" s="361"/>
      <c r="H226" s="361"/>
      <c r="I226" s="361"/>
      <c r="J226" s="361"/>
      <c r="K226" s="361"/>
      <c r="L226" s="361"/>
      <c r="M226" s="362"/>
      <c r="N226" s="26">
        <v>1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</row>
    <row r="227" spans="1:223" ht="13.5" customHeight="1" x14ac:dyDescent="0.25">
      <c r="A227" s="27">
        <v>198</v>
      </c>
      <c r="B227" s="25"/>
      <c r="C227" s="363" t="s">
        <v>245</v>
      </c>
      <c r="D227" s="361"/>
      <c r="E227" s="361"/>
      <c r="F227" s="361"/>
      <c r="G227" s="361"/>
      <c r="H227" s="361"/>
      <c r="I227" s="361"/>
      <c r="J227" s="361"/>
      <c r="K227" s="361"/>
      <c r="L227" s="361"/>
      <c r="M227" s="362"/>
      <c r="N227" s="26">
        <v>8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</row>
    <row r="228" spans="1:223" ht="13.5" customHeight="1" x14ac:dyDescent="0.25">
      <c r="A228" s="28">
        <v>199</v>
      </c>
      <c r="B228" s="25"/>
      <c r="C228" s="360" t="s">
        <v>246</v>
      </c>
      <c r="D228" s="361"/>
      <c r="E228" s="361"/>
      <c r="F228" s="361"/>
      <c r="G228" s="361"/>
      <c r="H228" s="361"/>
      <c r="I228" s="361"/>
      <c r="J228" s="361"/>
      <c r="K228" s="361"/>
      <c r="L228" s="361"/>
      <c r="M228" s="362"/>
      <c r="N228" s="26">
        <v>7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</row>
    <row r="229" spans="1:223" ht="13.5" customHeight="1" x14ac:dyDescent="0.25">
      <c r="A229" s="27">
        <v>200</v>
      </c>
      <c r="B229" s="25"/>
      <c r="C229" s="363" t="s">
        <v>247</v>
      </c>
      <c r="D229" s="361"/>
      <c r="E229" s="361"/>
      <c r="F229" s="361"/>
      <c r="G229" s="361"/>
      <c r="H229" s="361"/>
      <c r="I229" s="361"/>
      <c r="J229" s="361"/>
      <c r="K229" s="361"/>
      <c r="L229" s="361"/>
      <c r="M229" s="362"/>
      <c r="N229" s="26">
        <v>3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</row>
    <row r="230" spans="1:223" ht="13.5" customHeight="1" x14ac:dyDescent="0.25">
      <c r="A230" s="28">
        <v>201</v>
      </c>
      <c r="B230" s="25"/>
      <c r="C230" s="360" t="s">
        <v>248</v>
      </c>
      <c r="D230" s="361"/>
      <c r="E230" s="361"/>
      <c r="F230" s="361"/>
      <c r="G230" s="361"/>
      <c r="H230" s="361"/>
      <c r="I230" s="361"/>
      <c r="J230" s="361"/>
      <c r="K230" s="361"/>
      <c r="L230" s="361"/>
      <c r="M230" s="362"/>
      <c r="N230" s="26">
        <v>4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</row>
    <row r="231" spans="1:223" ht="13.5" customHeight="1" x14ac:dyDescent="0.25">
      <c r="A231" s="27">
        <v>202</v>
      </c>
      <c r="B231" s="25"/>
      <c r="C231" s="363" t="s">
        <v>249</v>
      </c>
      <c r="D231" s="361"/>
      <c r="E231" s="361"/>
      <c r="F231" s="361"/>
      <c r="G231" s="361"/>
      <c r="H231" s="361"/>
      <c r="I231" s="361"/>
      <c r="J231" s="361"/>
      <c r="K231" s="361"/>
      <c r="L231" s="361"/>
      <c r="M231" s="362"/>
      <c r="N231" s="26">
        <v>9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</row>
    <row r="232" spans="1:223" ht="13.5" customHeight="1" x14ac:dyDescent="0.25">
      <c r="A232" s="28">
        <v>203</v>
      </c>
      <c r="B232" s="25"/>
      <c r="C232" s="360" t="s">
        <v>250</v>
      </c>
      <c r="D232" s="361"/>
      <c r="E232" s="361"/>
      <c r="F232" s="361"/>
      <c r="G232" s="361"/>
      <c r="H232" s="361"/>
      <c r="I232" s="361"/>
      <c r="J232" s="361"/>
      <c r="K232" s="361"/>
      <c r="L232" s="361"/>
      <c r="M232" s="362"/>
      <c r="N232" s="26">
        <v>2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</row>
    <row r="233" spans="1:223" ht="13.5" customHeight="1" x14ac:dyDescent="0.25">
      <c r="A233" s="27">
        <v>204</v>
      </c>
      <c r="B233" s="25"/>
      <c r="C233" s="363" t="s">
        <v>251</v>
      </c>
      <c r="D233" s="361"/>
      <c r="E233" s="361"/>
      <c r="F233" s="361"/>
      <c r="G233" s="361"/>
      <c r="H233" s="361"/>
      <c r="I233" s="361"/>
      <c r="J233" s="361"/>
      <c r="K233" s="361"/>
      <c r="L233" s="361"/>
      <c r="M233" s="362"/>
      <c r="N233" s="26">
        <v>1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</row>
    <row r="234" spans="1:223" ht="13.5" customHeight="1" x14ac:dyDescent="0.25">
      <c r="A234" s="28">
        <v>205</v>
      </c>
      <c r="B234" s="25"/>
      <c r="C234" s="360" t="s">
        <v>252</v>
      </c>
      <c r="D234" s="361"/>
      <c r="E234" s="361"/>
      <c r="F234" s="361"/>
      <c r="G234" s="361"/>
      <c r="H234" s="361"/>
      <c r="I234" s="361"/>
      <c r="J234" s="361"/>
      <c r="K234" s="361"/>
      <c r="L234" s="361"/>
      <c r="M234" s="362"/>
      <c r="N234" s="26">
        <v>8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</row>
    <row r="235" spans="1:223" ht="13.5" customHeight="1" x14ac:dyDescent="0.25">
      <c r="A235" s="27">
        <v>206</v>
      </c>
      <c r="B235" s="25"/>
      <c r="C235" s="363" t="s">
        <v>253</v>
      </c>
      <c r="D235" s="361"/>
      <c r="E235" s="361"/>
      <c r="F235" s="361"/>
      <c r="G235" s="361"/>
      <c r="H235" s="361"/>
      <c r="I235" s="361"/>
      <c r="J235" s="361"/>
      <c r="K235" s="361"/>
      <c r="L235" s="361"/>
      <c r="M235" s="362"/>
      <c r="N235" s="26">
        <v>6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</row>
    <row r="236" spans="1:223" ht="13.5" customHeight="1" x14ac:dyDescent="0.25">
      <c r="A236" s="28">
        <v>207</v>
      </c>
      <c r="B236" s="25"/>
      <c r="C236" s="360" t="s">
        <v>254</v>
      </c>
      <c r="D236" s="361"/>
      <c r="E236" s="361"/>
      <c r="F236" s="361"/>
      <c r="G236" s="361"/>
      <c r="H236" s="361"/>
      <c r="I236" s="361"/>
      <c r="J236" s="361"/>
      <c r="K236" s="361"/>
      <c r="L236" s="361"/>
      <c r="M236" s="362"/>
      <c r="N236" s="26">
        <v>5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</row>
    <row r="237" spans="1:223" ht="13.5" customHeight="1" x14ac:dyDescent="0.25">
      <c r="A237" s="27">
        <v>208</v>
      </c>
      <c r="B237" s="25"/>
      <c r="C237" s="363" t="s">
        <v>255</v>
      </c>
      <c r="D237" s="361"/>
      <c r="E237" s="361"/>
      <c r="F237" s="361"/>
      <c r="G237" s="361"/>
      <c r="H237" s="361"/>
      <c r="I237" s="361"/>
      <c r="J237" s="361"/>
      <c r="K237" s="361"/>
      <c r="L237" s="361"/>
      <c r="M237" s="362"/>
      <c r="N237" s="26">
        <v>5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</row>
    <row r="238" spans="1:223" ht="13.5" customHeight="1" x14ac:dyDescent="0.25">
      <c r="A238" s="28">
        <v>209</v>
      </c>
      <c r="B238" s="25"/>
      <c r="C238" s="360" t="s">
        <v>256</v>
      </c>
      <c r="D238" s="361"/>
      <c r="E238" s="361"/>
      <c r="F238" s="361"/>
      <c r="G238" s="361"/>
      <c r="H238" s="361"/>
      <c r="I238" s="361"/>
      <c r="J238" s="361"/>
      <c r="K238" s="361"/>
      <c r="L238" s="361"/>
      <c r="M238" s="362"/>
      <c r="N238" s="26">
        <v>2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</row>
    <row r="239" spans="1:223" ht="13.5" customHeight="1" x14ac:dyDescent="0.25">
      <c r="A239" s="27">
        <v>210</v>
      </c>
      <c r="B239" s="25"/>
      <c r="C239" s="363" t="s">
        <v>257</v>
      </c>
      <c r="D239" s="361"/>
      <c r="E239" s="361"/>
      <c r="F239" s="361"/>
      <c r="G239" s="361"/>
      <c r="H239" s="361"/>
      <c r="I239" s="361"/>
      <c r="J239" s="361"/>
      <c r="K239" s="361"/>
      <c r="L239" s="361"/>
      <c r="M239" s="362"/>
      <c r="N239" s="26">
        <v>3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</row>
    <row r="240" spans="1:223" ht="13.5" customHeight="1" x14ac:dyDescent="0.25">
      <c r="A240" s="28">
        <v>211</v>
      </c>
      <c r="B240" s="25"/>
      <c r="C240" s="360" t="s">
        <v>258</v>
      </c>
      <c r="D240" s="361"/>
      <c r="E240" s="361"/>
      <c r="F240" s="361"/>
      <c r="G240" s="361"/>
      <c r="H240" s="361"/>
      <c r="I240" s="361"/>
      <c r="J240" s="361"/>
      <c r="K240" s="361"/>
      <c r="L240" s="361"/>
      <c r="M240" s="362"/>
      <c r="N240" s="26">
        <v>1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</row>
    <row r="241" spans="1:223" ht="13.5" customHeight="1" x14ac:dyDescent="0.25">
      <c r="A241" s="27">
        <v>212</v>
      </c>
      <c r="B241" s="25"/>
      <c r="C241" s="363" t="s">
        <v>259</v>
      </c>
      <c r="D241" s="361"/>
      <c r="E241" s="361"/>
      <c r="F241" s="361"/>
      <c r="G241" s="361"/>
      <c r="H241" s="361"/>
      <c r="I241" s="361"/>
      <c r="J241" s="361"/>
      <c r="K241" s="361"/>
      <c r="L241" s="361"/>
      <c r="M241" s="362"/>
      <c r="N241" s="26">
        <v>6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</row>
    <row r="242" spans="1:223" ht="13.5" customHeight="1" x14ac:dyDescent="0.25">
      <c r="A242" s="28">
        <v>213</v>
      </c>
      <c r="B242" s="25"/>
      <c r="C242" s="360" t="s">
        <v>260</v>
      </c>
      <c r="D242" s="361"/>
      <c r="E242" s="361"/>
      <c r="F242" s="361"/>
      <c r="G242" s="361"/>
      <c r="H242" s="361"/>
      <c r="I242" s="361"/>
      <c r="J242" s="361"/>
      <c r="K242" s="361"/>
      <c r="L242" s="361"/>
      <c r="M242" s="362"/>
      <c r="N242" s="26">
        <v>9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</row>
    <row r="243" spans="1:223" ht="13.5" customHeight="1" x14ac:dyDescent="0.25">
      <c r="A243" s="27">
        <v>214</v>
      </c>
      <c r="B243" s="25"/>
      <c r="C243" s="363" t="s">
        <v>261</v>
      </c>
      <c r="D243" s="361"/>
      <c r="E243" s="361"/>
      <c r="F243" s="361"/>
      <c r="G243" s="361"/>
      <c r="H243" s="361"/>
      <c r="I243" s="361"/>
      <c r="J243" s="361"/>
      <c r="K243" s="361"/>
      <c r="L243" s="361"/>
      <c r="M243" s="362"/>
      <c r="N243" s="26">
        <v>4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</row>
    <row r="244" spans="1:223" ht="13.5" customHeight="1" x14ac:dyDescent="0.25">
      <c r="A244" s="28">
        <v>215</v>
      </c>
      <c r="B244" s="25"/>
      <c r="C244" s="360" t="s">
        <v>262</v>
      </c>
      <c r="D244" s="361"/>
      <c r="E244" s="361"/>
      <c r="F244" s="361"/>
      <c r="G244" s="361"/>
      <c r="H244" s="361"/>
      <c r="I244" s="361"/>
      <c r="J244" s="361"/>
      <c r="K244" s="361"/>
      <c r="L244" s="361"/>
      <c r="M244" s="362"/>
      <c r="N244" s="26">
        <v>8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</row>
    <row r="245" spans="1:223" ht="13.5" customHeight="1" x14ac:dyDescent="0.25">
      <c r="A245" s="27">
        <v>216</v>
      </c>
      <c r="B245" s="25"/>
      <c r="C245" s="363" t="s">
        <v>263</v>
      </c>
      <c r="D245" s="361"/>
      <c r="E245" s="361"/>
      <c r="F245" s="361"/>
      <c r="G245" s="361"/>
      <c r="H245" s="361"/>
      <c r="I245" s="361"/>
      <c r="J245" s="361"/>
      <c r="K245" s="361"/>
      <c r="L245" s="361"/>
      <c r="M245" s="362"/>
      <c r="N245" s="26">
        <v>7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</row>
    <row r="246" spans="1:223" ht="13.5" customHeight="1" x14ac:dyDescent="0.25">
      <c r="A246" s="28">
        <v>217</v>
      </c>
      <c r="B246" s="25"/>
      <c r="C246" s="360" t="s">
        <v>264</v>
      </c>
      <c r="D246" s="361"/>
      <c r="E246" s="361"/>
      <c r="F246" s="361"/>
      <c r="G246" s="361"/>
      <c r="H246" s="361"/>
      <c r="I246" s="361"/>
      <c r="J246" s="361"/>
      <c r="K246" s="361"/>
      <c r="L246" s="361"/>
      <c r="M246" s="362"/>
      <c r="N246" s="26">
        <v>3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</row>
    <row r="247" spans="1:223" ht="13.5" customHeight="1" x14ac:dyDescent="0.25">
      <c r="A247" s="27">
        <v>218</v>
      </c>
      <c r="B247" s="25"/>
      <c r="C247" s="363" t="s">
        <v>265</v>
      </c>
      <c r="D247" s="361"/>
      <c r="E247" s="361"/>
      <c r="F247" s="361"/>
      <c r="G247" s="361"/>
      <c r="H247" s="361"/>
      <c r="I247" s="361"/>
      <c r="J247" s="361"/>
      <c r="K247" s="361"/>
      <c r="L247" s="361"/>
      <c r="M247" s="362"/>
      <c r="N247" s="26">
        <v>4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</row>
    <row r="248" spans="1:223" ht="13.5" customHeight="1" x14ac:dyDescent="0.25">
      <c r="A248" s="28">
        <v>219</v>
      </c>
      <c r="B248" s="25"/>
      <c r="C248" s="360" t="s">
        <v>266</v>
      </c>
      <c r="D248" s="361"/>
      <c r="E248" s="361"/>
      <c r="F248" s="361"/>
      <c r="G248" s="361"/>
      <c r="H248" s="361"/>
      <c r="I248" s="361"/>
      <c r="J248" s="361"/>
      <c r="K248" s="361"/>
      <c r="L248" s="361"/>
      <c r="M248" s="362"/>
      <c r="N248" s="26">
        <v>7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</row>
    <row r="249" spans="1:223" ht="13.5" customHeight="1" x14ac:dyDescent="0.25">
      <c r="A249" s="27">
        <v>220</v>
      </c>
      <c r="B249" s="25"/>
      <c r="C249" s="363" t="s">
        <v>267</v>
      </c>
      <c r="D249" s="361"/>
      <c r="E249" s="361"/>
      <c r="F249" s="361"/>
      <c r="G249" s="361"/>
      <c r="H249" s="361"/>
      <c r="I249" s="361"/>
      <c r="J249" s="361"/>
      <c r="K249" s="361"/>
      <c r="L249" s="361"/>
      <c r="M249" s="362"/>
      <c r="N249" s="26">
        <v>9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</row>
    <row r="250" spans="1:223" ht="13.5" customHeight="1" x14ac:dyDescent="0.25">
      <c r="A250" s="28">
        <v>221</v>
      </c>
      <c r="B250" s="25"/>
      <c r="C250" s="360" t="s">
        <v>268</v>
      </c>
      <c r="D250" s="361"/>
      <c r="E250" s="361"/>
      <c r="F250" s="361"/>
      <c r="G250" s="361"/>
      <c r="H250" s="361"/>
      <c r="I250" s="361"/>
      <c r="J250" s="361"/>
      <c r="K250" s="361"/>
      <c r="L250" s="361"/>
      <c r="M250" s="362"/>
      <c r="N250" s="26">
        <v>8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</row>
    <row r="251" spans="1:223" ht="13.5" customHeight="1" x14ac:dyDescent="0.25">
      <c r="A251" s="27">
        <v>222</v>
      </c>
      <c r="B251" s="25"/>
      <c r="C251" s="363" t="s">
        <v>269</v>
      </c>
      <c r="D251" s="361"/>
      <c r="E251" s="361"/>
      <c r="F251" s="361"/>
      <c r="G251" s="361"/>
      <c r="H251" s="361"/>
      <c r="I251" s="361"/>
      <c r="J251" s="361"/>
      <c r="K251" s="361"/>
      <c r="L251" s="361"/>
      <c r="M251" s="362"/>
      <c r="N251" s="26">
        <v>5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</row>
    <row r="252" spans="1:223" ht="13.5" customHeight="1" x14ac:dyDescent="0.25">
      <c r="A252" s="28">
        <v>223</v>
      </c>
      <c r="B252" s="25"/>
      <c r="C252" s="360" t="s">
        <v>270</v>
      </c>
      <c r="D252" s="361"/>
      <c r="E252" s="361"/>
      <c r="F252" s="361"/>
      <c r="G252" s="361"/>
      <c r="H252" s="361"/>
      <c r="I252" s="361"/>
      <c r="J252" s="361"/>
      <c r="K252" s="361"/>
      <c r="L252" s="361"/>
      <c r="M252" s="362"/>
      <c r="N252" s="26">
        <v>1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</row>
    <row r="253" spans="1:223" ht="13.5" customHeight="1" x14ac:dyDescent="0.25">
      <c r="A253" s="27">
        <v>224</v>
      </c>
      <c r="B253" s="25"/>
      <c r="C253" s="363" t="s">
        <v>271</v>
      </c>
      <c r="D253" s="361"/>
      <c r="E253" s="361"/>
      <c r="F253" s="361"/>
      <c r="G253" s="361"/>
      <c r="H253" s="361"/>
      <c r="I253" s="361"/>
      <c r="J253" s="361"/>
      <c r="K253" s="361"/>
      <c r="L253" s="361"/>
      <c r="M253" s="362"/>
      <c r="N253" s="26">
        <v>2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</row>
    <row r="254" spans="1:223" ht="13.5" customHeight="1" x14ac:dyDescent="0.25">
      <c r="A254" s="28">
        <v>225</v>
      </c>
      <c r="B254" s="25"/>
      <c r="C254" s="360" t="s">
        <v>272</v>
      </c>
      <c r="D254" s="361"/>
      <c r="E254" s="361"/>
      <c r="F254" s="361"/>
      <c r="G254" s="361"/>
      <c r="H254" s="361"/>
      <c r="I254" s="361"/>
      <c r="J254" s="361"/>
      <c r="K254" s="361"/>
      <c r="L254" s="361"/>
      <c r="M254" s="362"/>
      <c r="N254" s="26">
        <v>6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</row>
    <row r="255" spans="1:223" ht="13.5" customHeight="1" x14ac:dyDescent="0.25">
      <c r="A255" s="27">
        <v>226</v>
      </c>
      <c r="B255" s="25"/>
      <c r="C255" s="363" t="s">
        <v>273</v>
      </c>
      <c r="D255" s="361"/>
      <c r="E255" s="361"/>
      <c r="F255" s="361"/>
      <c r="G255" s="361"/>
      <c r="H255" s="361"/>
      <c r="I255" s="361"/>
      <c r="J255" s="361"/>
      <c r="K255" s="361"/>
      <c r="L255" s="361"/>
      <c r="M255" s="362"/>
      <c r="N255" s="26">
        <v>1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</row>
    <row r="256" spans="1:223" ht="13.5" customHeight="1" x14ac:dyDescent="0.25">
      <c r="A256" s="28">
        <v>227</v>
      </c>
      <c r="B256" s="25"/>
      <c r="C256" s="360" t="s">
        <v>274</v>
      </c>
      <c r="D256" s="361"/>
      <c r="E256" s="361"/>
      <c r="F256" s="361"/>
      <c r="G256" s="361"/>
      <c r="H256" s="361"/>
      <c r="I256" s="361"/>
      <c r="J256" s="361"/>
      <c r="K256" s="361"/>
      <c r="L256" s="361"/>
      <c r="M256" s="362"/>
      <c r="N256" s="26">
        <v>2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</row>
    <row r="257" spans="1:223" ht="13.5" customHeight="1" x14ac:dyDescent="0.25">
      <c r="A257" s="27">
        <v>228</v>
      </c>
      <c r="B257" s="25"/>
      <c r="C257" s="363" t="s">
        <v>275</v>
      </c>
      <c r="D257" s="361"/>
      <c r="E257" s="361"/>
      <c r="F257" s="361"/>
      <c r="G257" s="361"/>
      <c r="H257" s="361"/>
      <c r="I257" s="361"/>
      <c r="J257" s="361"/>
      <c r="K257" s="361"/>
      <c r="L257" s="361"/>
      <c r="M257" s="362"/>
      <c r="N257" s="26">
        <v>5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</row>
    <row r="258" spans="1:223" ht="13.5" customHeight="1" x14ac:dyDescent="0.25">
      <c r="A258" s="28">
        <v>229</v>
      </c>
      <c r="B258" s="25"/>
      <c r="C258" s="360" t="s">
        <v>276</v>
      </c>
      <c r="D258" s="361"/>
      <c r="E258" s="361"/>
      <c r="F258" s="361"/>
      <c r="G258" s="361"/>
      <c r="H258" s="361"/>
      <c r="I258" s="361"/>
      <c r="J258" s="361"/>
      <c r="K258" s="361"/>
      <c r="L258" s="361"/>
      <c r="M258" s="362"/>
      <c r="N258" s="26">
        <v>6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</row>
    <row r="259" spans="1:223" ht="13.5" customHeight="1" x14ac:dyDescent="0.25">
      <c r="A259" s="27">
        <v>230</v>
      </c>
      <c r="B259" s="25"/>
      <c r="C259" s="363" t="s">
        <v>277</v>
      </c>
      <c r="D259" s="361"/>
      <c r="E259" s="361"/>
      <c r="F259" s="361"/>
      <c r="G259" s="361"/>
      <c r="H259" s="361"/>
      <c r="I259" s="361"/>
      <c r="J259" s="361"/>
      <c r="K259" s="361"/>
      <c r="L259" s="361"/>
      <c r="M259" s="362"/>
      <c r="N259" s="26">
        <v>8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</row>
    <row r="260" spans="1:223" ht="13.5" customHeight="1" x14ac:dyDescent="0.25">
      <c r="A260" s="28">
        <v>231</v>
      </c>
      <c r="B260" s="25"/>
      <c r="C260" s="360" t="s">
        <v>278</v>
      </c>
      <c r="D260" s="361"/>
      <c r="E260" s="361"/>
      <c r="F260" s="361"/>
      <c r="G260" s="361"/>
      <c r="H260" s="361"/>
      <c r="I260" s="361"/>
      <c r="J260" s="361"/>
      <c r="K260" s="361"/>
      <c r="L260" s="361"/>
      <c r="M260" s="362"/>
      <c r="N260" s="26">
        <v>9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</row>
    <row r="261" spans="1:223" ht="13.5" customHeight="1" x14ac:dyDescent="0.25">
      <c r="A261" s="27">
        <v>232</v>
      </c>
      <c r="B261" s="25"/>
      <c r="C261" s="363" t="s">
        <v>279</v>
      </c>
      <c r="D261" s="361"/>
      <c r="E261" s="361"/>
      <c r="F261" s="361"/>
      <c r="G261" s="361"/>
      <c r="H261" s="361"/>
      <c r="I261" s="361"/>
      <c r="J261" s="361"/>
      <c r="K261" s="361"/>
      <c r="L261" s="361"/>
      <c r="M261" s="362"/>
      <c r="N261" s="26">
        <v>4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</row>
    <row r="262" spans="1:223" ht="13.5" customHeight="1" x14ac:dyDescent="0.25">
      <c r="A262" s="28">
        <v>233</v>
      </c>
      <c r="B262" s="25"/>
      <c r="C262" s="360" t="s">
        <v>280</v>
      </c>
      <c r="D262" s="361"/>
      <c r="E262" s="361"/>
      <c r="F262" s="361"/>
      <c r="G262" s="361"/>
      <c r="H262" s="361"/>
      <c r="I262" s="361"/>
      <c r="J262" s="361"/>
      <c r="K262" s="361"/>
      <c r="L262" s="361"/>
      <c r="M262" s="362"/>
      <c r="N262" s="26">
        <v>7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</row>
    <row r="263" spans="1:223" ht="13.5" customHeight="1" x14ac:dyDescent="0.25">
      <c r="A263" s="27">
        <v>234</v>
      </c>
      <c r="B263" s="25"/>
      <c r="C263" s="363" t="s">
        <v>281</v>
      </c>
      <c r="D263" s="361"/>
      <c r="E263" s="361"/>
      <c r="F263" s="361"/>
      <c r="G263" s="361"/>
      <c r="H263" s="361"/>
      <c r="I263" s="361"/>
      <c r="J263" s="361"/>
      <c r="K263" s="361"/>
      <c r="L263" s="361"/>
      <c r="M263" s="362"/>
      <c r="N263" s="26">
        <v>3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</row>
    <row r="264" spans="1:223" ht="13.5" customHeight="1" x14ac:dyDescent="0.25">
      <c r="A264" s="28">
        <v>235</v>
      </c>
      <c r="B264" s="25"/>
      <c r="C264" s="360" t="s">
        <v>282</v>
      </c>
      <c r="D264" s="361"/>
      <c r="E264" s="361"/>
      <c r="F264" s="361"/>
      <c r="G264" s="361"/>
      <c r="H264" s="361"/>
      <c r="I264" s="361"/>
      <c r="J264" s="361"/>
      <c r="K264" s="361"/>
      <c r="L264" s="361"/>
      <c r="M264" s="362"/>
      <c r="N264" s="26">
        <v>8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</row>
    <row r="265" spans="1:223" ht="13.5" customHeight="1" x14ac:dyDescent="0.25">
      <c r="A265" s="27">
        <v>236</v>
      </c>
      <c r="B265" s="25"/>
      <c r="C265" s="363" t="s">
        <v>283</v>
      </c>
      <c r="D265" s="361"/>
      <c r="E265" s="361"/>
      <c r="F265" s="361"/>
      <c r="G265" s="361"/>
      <c r="H265" s="361"/>
      <c r="I265" s="361"/>
      <c r="J265" s="361"/>
      <c r="K265" s="361"/>
      <c r="L265" s="361"/>
      <c r="M265" s="362"/>
      <c r="N265" s="26">
        <v>9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</row>
    <row r="266" spans="1:223" ht="13.5" customHeight="1" x14ac:dyDescent="0.25">
      <c r="A266" s="28">
        <v>237</v>
      </c>
      <c r="B266" s="25"/>
      <c r="C266" s="360" t="s">
        <v>284</v>
      </c>
      <c r="D266" s="361"/>
      <c r="E266" s="361"/>
      <c r="F266" s="361"/>
      <c r="G266" s="361"/>
      <c r="H266" s="361"/>
      <c r="I266" s="361"/>
      <c r="J266" s="361"/>
      <c r="K266" s="361"/>
      <c r="L266" s="361"/>
      <c r="M266" s="362"/>
      <c r="N266" s="26">
        <v>4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</row>
    <row r="267" spans="1:223" ht="13.5" customHeight="1" x14ac:dyDescent="0.25">
      <c r="A267" s="27">
        <v>238</v>
      </c>
      <c r="B267" s="25"/>
      <c r="C267" s="363" t="s">
        <v>285</v>
      </c>
      <c r="D267" s="361"/>
      <c r="E267" s="361"/>
      <c r="F267" s="361"/>
      <c r="G267" s="361"/>
      <c r="H267" s="361"/>
      <c r="I267" s="361"/>
      <c r="J267" s="361"/>
      <c r="K267" s="361"/>
      <c r="L267" s="361"/>
      <c r="M267" s="362"/>
      <c r="N267" s="26">
        <v>5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</row>
    <row r="268" spans="1:223" ht="13.5" customHeight="1" x14ac:dyDescent="0.25">
      <c r="A268" s="28">
        <v>239</v>
      </c>
      <c r="B268" s="25"/>
      <c r="C268" s="360" t="s">
        <v>286</v>
      </c>
      <c r="D268" s="361"/>
      <c r="E268" s="361"/>
      <c r="F268" s="361"/>
      <c r="G268" s="361"/>
      <c r="H268" s="361"/>
      <c r="I268" s="361"/>
      <c r="J268" s="361"/>
      <c r="K268" s="361"/>
      <c r="L268" s="361"/>
      <c r="M268" s="362"/>
      <c r="N268" s="26">
        <v>6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</row>
    <row r="269" spans="1:223" ht="13.5" customHeight="1" x14ac:dyDescent="0.25">
      <c r="A269" s="27">
        <v>240</v>
      </c>
      <c r="B269" s="25"/>
      <c r="C269" s="363" t="s">
        <v>287</v>
      </c>
      <c r="D269" s="361"/>
      <c r="E269" s="361"/>
      <c r="F269" s="361"/>
      <c r="G269" s="361"/>
      <c r="H269" s="361"/>
      <c r="I269" s="361"/>
      <c r="J269" s="361"/>
      <c r="K269" s="361"/>
      <c r="L269" s="361"/>
      <c r="M269" s="362"/>
      <c r="N269" s="26">
        <v>1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</row>
    <row r="270" spans="1:223" ht="13.5" customHeight="1" x14ac:dyDescent="0.25">
      <c r="A270" s="28">
        <v>241</v>
      </c>
      <c r="B270" s="25"/>
      <c r="C270" s="360" t="s">
        <v>288</v>
      </c>
      <c r="D270" s="361"/>
      <c r="E270" s="361"/>
      <c r="F270" s="361"/>
      <c r="G270" s="361"/>
      <c r="H270" s="361"/>
      <c r="I270" s="361"/>
      <c r="J270" s="361"/>
      <c r="K270" s="361"/>
      <c r="L270" s="361"/>
      <c r="M270" s="362"/>
      <c r="N270" s="26">
        <v>7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</row>
    <row r="271" spans="1:223" ht="13.5" customHeight="1" x14ac:dyDescent="0.25">
      <c r="A271" s="27">
        <v>242</v>
      </c>
      <c r="B271" s="25"/>
      <c r="C271" s="363" t="s">
        <v>289</v>
      </c>
      <c r="D271" s="361"/>
      <c r="E271" s="361"/>
      <c r="F271" s="361"/>
      <c r="G271" s="361"/>
      <c r="H271" s="361"/>
      <c r="I271" s="361"/>
      <c r="J271" s="361"/>
      <c r="K271" s="361"/>
      <c r="L271" s="361"/>
      <c r="M271" s="362"/>
      <c r="N271" s="26">
        <v>2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</row>
    <row r="272" spans="1:223" ht="13.5" customHeight="1" x14ac:dyDescent="0.25">
      <c r="A272" s="28">
        <v>243</v>
      </c>
      <c r="B272" s="25"/>
      <c r="C272" s="360" t="s">
        <v>290</v>
      </c>
      <c r="D272" s="361"/>
      <c r="E272" s="361"/>
      <c r="F272" s="361"/>
      <c r="G272" s="361"/>
      <c r="H272" s="361"/>
      <c r="I272" s="361"/>
      <c r="J272" s="361"/>
      <c r="K272" s="361"/>
      <c r="L272" s="361"/>
      <c r="M272" s="362"/>
      <c r="N272" s="26">
        <v>3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</row>
    <row r="273" spans="1:223" ht="13.5" customHeight="1" x14ac:dyDescent="0.25">
      <c r="A273" s="27">
        <v>244</v>
      </c>
      <c r="B273" s="25"/>
      <c r="C273" s="363" t="s">
        <v>291</v>
      </c>
      <c r="D273" s="361"/>
      <c r="E273" s="361"/>
      <c r="F273" s="361"/>
      <c r="G273" s="361"/>
      <c r="H273" s="361"/>
      <c r="I273" s="361"/>
      <c r="J273" s="361"/>
      <c r="K273" s="361"/>
      <c r="L273" s="361"/>
      <c r="M273" s="362"/>
      <c r="N273" s="26">
        <v>3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</row>
    <row r="274" spans="1:223" ht="13.5" customHeight="1" x14ac:dyDescent="0.25">
      <c r="A274" s="28">
        <v>245</v>
      </c>
      <c r="B274" s="25"/>
      <c r="C274" s="360" t="s">
        <v>292</v>
      </c>
      <c r="D274" s="361"/>
      <c r="E274" s="361"/>
      <c r="F274" s="361"/>
      <c r="G274" s="361"/>
      <c r="H274" s="361"/>
      <c r="I274" s="361"/>
      <c r="J274" s="361"/>
      <c r="K274" s="361"/>
      <c r="L274" s="361"/>
      <c r="M274" s="362"/>
      <c r="N274" s="26">
        <v>1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</row>
    <row r="275" spans="1:223" ht="13.5" customHeight="1" x14ac:dyDescent="0.25">
      <c r="A275" s="27">
        <v>246</v>
      </c>
      <c r="B275" s="25"/>
      <c r="C275" s="363" t="s">
        <v>293</v>
      </c>
      <c r="D275" s="361"/>
      <c r="E275" s="361"/>
      <c r="F275" s="361"/>
      <c r="G275" s="361"/>
      <c r="H275" s="361"/>
      <c r="I275" s="361"/>
      <c r="J275" s="361"/>
      <c r="K275" s="361"/>
      <c r="L275" s="361"/>
      <c r="M275" s="362"/>
      <c r="N275" s="26">
        <v>8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</row>
    <row r="276" spans="1:223" ht="13.5" customHeight="1" x14ac:dyDescent="0.25">
      <c r="A276" s="28">
        <v>247</v>
      </c>
      <c r="B276" s="25"/>
      <c r="C276" s="360" t="s">
        <v>294</v>
      </c>
      <c r="D276" s="361"/>
      <c r="E276" s="361"/>
      <c r="F276" s="361"/>
      <c r="G276" s="361"/>
      <c r="H276" s="361"/>
      <c r="I276" s="361"/>
      <c r="J276" s="361"/>
      <c r="K276" s="361"/>
      <c r="L276" s="361"/>
      <c r="M276" s="362"/>
      <c r="N276" s="26">
        <v>5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</row>
    <row r="277" spans="1:223" ht="13.5" customHeight="1" x14ac:dyDescent="0.25">
      <c r="A277" s="27">
        <v>248</v>
      </c>
      <c r="B277" s="25"/>
      <c r="C277" s="363" t="s">
        <v>295</v>
      </c>
      <c r="D277" s="361"/>
      <c r="E277" s="361"/>
      <c r="F277" s="361"/>
      <c r="G277" s="361"/>
      <c r="H277" s="361"/>
      <c r="I277" s="361"/>
      <c r="J277" s="361"/>
      <c r="K277" s="361"/>
      <c r="L277" s="361"/>
      <c r="M277" s="362"/>
      <c r="N277" s="26">
        <v>9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</row>
    <row r="278" spans="1:223" ht="13.5" customHeight="1" x14ac:dyDescent="0.25">
      <c r="A278" s="28">
        <v>249</v>
      </c>
      <c r="B278" s="25"/>
      <c r="C278" s="360" t="s">
        <v>296</v>
      </c>
      <c r="D278" s="361"/>
      <c r="E278" s="361"/>
      <c r="F278" s="361"/>
      <c r="G278" s="361"/>
      <c r="H278" s="361"/>
      <c r="I278" s="361"/>
      <c r="J278" s="361"/>
      <c r="K278" s="361"/>
      <c r="L278" s="361"/>
      <c r="M278" s="362"/>
      <c r="N278" s="26">
        <v>6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</row>
    <row r="279" spans="1:223" ht="13.5" customHeight="1" x14ac:dyDescent="0.25">
      <c r="A279" s="27">
        <v>250</v>
      </c>
      <c r="B279" s="25"/>
      <c r="C279" s="363" t="s">
        <v>297</v>
      </c>
      <c r="D279" s="361"/>
      <c r="E279" s="361"/>
      <c r="F279" s="361"/>
      <c r="G279" s="361"/>
      <c r="H279" s="361"/>
      <c r="I279" s="361"/>
      <c r="J279" s="361"/>
      <c r="K279" s="361"/>
      <c r="L279" s="361"/>
      <c r="M279" s="362"/>
      <c r="N279" s="26">
        <v>4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</row>
    <row r="280" spans="1:223" ht="13.5" customHeight="1" x14ac:dyDescent="0.25">
      <c r="A280" s="28">
        <v>251</v>
      </c>
      <c r="B280" s="25"/>
      <c r="C280" s="360" t="s">
        <v>298</v>
      </c>
      <c r="D280" s="361"/>
      <c r="E280" s="361"/>
      <c r="F280" s="361"/>
      <c r="G280" s="361"/>
      <c r="H280" s="361"/>
      <c r="I280" s="361"/>
      <c r="J280" s="361"/>
      <c r="K280" s="361"/>
      <c r="L280" s="361"/>
      <c r="M280" s="362"/>
      <c r="N280" s="26">
        <v>7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</row>
    <row r="281" spans="1:223" ht="13.5" customHeight="1" x14ac:dyDescent="0.25">
      <c r="A281" s="27">
        <v>252</v>
      </c>
      <c r="B281" s="25"/>
      <c r="C281" s="363" t="s">
        <v>299</v>
      </c>
      <c r="D281" s="361"/>
      <c r="E281" s="361"/>
      <c r="F281" s="361"/>
      <c r="G281" s="361"/>
      <c r="H281" s="361"/>
      <c r="I281" s="361"/>
      <c r="J281" s="361"/>
      <c r="K281" s="361"/>
      <c r="L281" s="361"/>
      <c r="M281" s="362"/>
      <c r="N281" s="26">
        <v>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</row>
    <row r="282" spans="1:223" ht="13.5" customHeight="1" x14ac:dyDescent="0.25">
      <c r="A282" s="28">
        <v>253</v>
      </c>
      <c r="B282" s="25"/>
      <c r="C282" s="360" t="s">
        <v>300</v>
      </c>
      <c r="D282" s="361"/>
      <c r="E282" s="361"/>
      <c r="F282" s="361"/>
      <c r="G282" s="361"/>
      <c r="H282" s="361"/>
      <c r="I282" s="361"/>
      <c r="J282" s="361"/>
      <c r="K282" s="361"/>
      <c r="L282" s="361"/>
      <c r="M282" s="362"/>
      <c r="N282" s="26">
        <v>8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</row>
    <row r="283" spans="1:223" ht="13.5" customHeight="1" x14ac:dyDescent="0.25">
      <c r="A283" s="27">
        <v>254</v>
      </c>
      <c r="B283" s="25"/>
      <c r="C283" s="363" t="s">
        <v>301</v>
      </c>
      <c r="D283" s="361"/>
      <c r="E283" s="361"/>
      <c r="F283" s="361"/>
      <c r="G283" s="361"/>
      <c r="H283" s="361"/>
      <c r="I283" s="361"/>
      <c r="J283" s="361"/>
      <c r="K283" s="361"/>
      <c r="L283" s="361"/>
      <c r="M283" s="362"/>
      <c r="N283" s="26">
        <v>5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</row>
    <row r="284" spans="1:223" ht="13.5" customHeight="1" x14ac:dyDescent="0.25">
      <c r="A284" s="28">
        <v>255</v>
      </c>
      <c r="B284" s="25"/>
      <c r="C284" s="360" t="s">
        <v>302</v>
      </c>
      <c r="D284" s="361"/>
      <c r="E284" s="361"/>
      <c r="F284" s="361"/>
      <c r="G284" s="361"/>
      <c r="H284" s="361"/>
      <c r="I284" s="361"/>
      <c r="J284" s="361"/>
      <c r="K284" s="361"/>
      <c r="L284" s="361"/>
      <c r="M284" s="362"/>
      <c r="N284" s="26">
        <v>1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</row>
    <row r="285" spans="1:223" ht="13.5" customHeight="1" x14ac:dyDescent="0.25">
      <c r="A285" s="27">
        <v>256</v>
      </c>
      <c r="B285" s="25"/>
      <c r="C285" s="363" t="s">
        <v>303</v>
      </c>
      <c r="D285" s="361"/>
      <c r="E285" s="361"/>
      <c r="F285" s="361"/>
      <c r="G285" s="361"/>
      <c r="H285" s="361"/>
      <c r="I285" s="361"/>
      <c r="J285" s="361"/>
      <c r="K285" s="361"/>
      <c r="L285" s="361"/>
      <c r="M285" s="362"/>
      <c r="N285" s="26">
        <v>3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</row>
    <row r="286" spans="1:223" ht="13.5" customHeight="1" x14ac:dyDescent="0.25">
      <c r="A286" s="28">
        <v>257</v>
      </c>
      <c r="B286" s="25"/>
      <c r="C286" s="360" t="s">
        <v>304</v>
      </c>
      <c r="D286" s="361"/>
      <c r="E286" s="361"/>
      <c r="F286" s="361"/>
      <c r="G286" s="361"/>
      <c r="H286" s="361"/>
      <c r="I286" s="361"/>
      <c r="J286" s="361"/>
      <c r="K286" s="361"/>
      <c r="L286" s="361"/>
      <c r="M286" s="362"/>
      <c r="N286" s="26">
        <v>9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</row>
    <row r="287" spans="1:223" ht="13.5" customHeight="1" x14ac:dyDescent="0.25">
      <c r="A287" s="27">
        <v>258</v>
      </c>
      <c r="B287" s="25"/>
      <c r="C287" s="363" t="s">
        <v>305</v>
      </c>
      <c r="D287" s="361"/>
      <c r="E287" s="361"/>
      <c r="F287" s="361"/>
      <c r="G287" s="361"/>
      <c r="H287" s="361"/>
      <c r="I287" s="361"/>
      <c r="J287" s="361"/>
      <c r="K287" s="361"/>
      <c r="L287" s="361"/>
      <c r="M287" s="362"/>
      <c r="N287" s="26">
        <v>2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</row>
    <row r="288" spans="1:223" ht="13.5" customHeight="1" x14ac:dyDescent="0.25">
      <c r="A288" s="28">
        <v>259</v>
      </c>
      <c r="B288" s="25"/>
      <c r="C288" s="360" t="s">
        <v>306</v>
      </c>
      <c r="D288" s="361"/>
      <c r="E288" s="361"/>
      <c r="F288" s="361"/>
      <c r="G288" s="361"/>
      <c r="H288" s="361"/>
      <c r="I288" s="361"/>
      <c r="J288" s="361"/>
      <c r="K288" s="361"/>
      <c r="L288" s="361"/>
      <c r="M288" s="362"/>
      <c r="N288" s="26">
        <v>6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</row>
    <row r="289" spans="1:223" ht="13.5" customHeight="1" x14ac:dyDescent="0.25">
      <c r="A289" s="27">
        <v>260</v>
      </c>
      <c r="B289" s="25"/>
      <c r="C289" s="363" t="s">
        <v>307</v>
      </c>
      <c r="D289" s="361"/>
      <c r="E289" s="361"/>
      <c r="F289" s="361"/>
      <c r="G289" s="361"/>
      <c r="H289" s="361"/>
      <c r="I289" s="361"/>
      <c r="J289" s="361"/>
      <c r="K289" s="361"/>
      <c r="L289" s="361"/>
      <c r="M289" s="362"/>
      <c r="N289" s="26">
        <v>7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</row>
    <row r="290" spans="1:223" ht="13.5" customHeight="1" x14ac:dyDescent="0.25">
      <c r="A290" s="28">
        <v>261</v>
      </c>
      <c r="B290" s="25"/>
      <c r="C290" s="360" t="s">
        <v>308</v>
      </c>
      <c r="D290" s="361"/>
      <c r="E290" s="361"/>
      <c r="F290" s="361"/>
      <c r="G290" s="361"/>
      <c r="H290" s="361"/>
      <c r="I290" s="361"/>
      <c r="J290" s="361"/>
      <c r="K290" s="361"/>
      <c r="L290" s="361"/>
      <c r="M290" s="362"/>
      <c r="N290" s="26">
        <v>4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</row>
    <row r="291" spans="1:223" ht="13.5" customHeight="1" x14ac:dyDescent="0.25">
      <c r="A291" s="27">
        <v>262</v>
      </c>
      <c r="B291" s="25"/>
      <c r="C291" s="363" t="s">
        <v>309</v>
      </c>
      <c r="D291" s="361"/>
      <c r="E291" s="361"/>
      <c r="F291" s="361"/>
      <c r="G291" s="361"/>
      <c r="H291" s="361"/>
      <c r="I291" s="361"/>
      <c r="J291" s="361"/>
      <c r="K291" s="361"/>
      <c r="L291" s="361"/>
      <c r="M291" s="362"/>
      <c r="N291" s="26">
        <v>8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</row>
    <row r="292" spans="1:223" ht="13.5" customHeight="1" x14ac:dyDescent="0.25">
      <c r="A292" s="28">
        <v>263</v>
      </c>
      <c r="B292" s="25"/>
      <c r="C292" s="360" t="s">
        <v>310</v>
      </c>
      <c r="D292" s="361"/>
      <c r="E292" s="361"/>
      <c r="F292" s="361"/>
      <c r="G292" s="361"/>
      <c r="H292" s="361"/>
      <c r="I292" s="361"/>
      <c r="J292" s="361"/>
      <c r="K292" s="361"/>
      <c r="L292" s="361"/>
      <c r="M292" s="362"/>
      <c r="N292" s="26">
        <v>3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</row>
    <row r="293" spans="1:223" ht="13.5" customHeight="1" x14ac:dyDescent="0.25">
      <c r="A293" s="27">
        <v>264</v>
      </c>
      <c r="B293" s="25"/>
      <c r="C293" s="363" t="s">
        <v>311</v>
      </c>
      <c r="D293" s="361"/>
      <c r="E293" s="361"/>
      <c r="F293" s="361"/>
      <c r="G293" s="361"/>
      <c r="H293" s="361"/>
      <c r="I293" s="361"/>
      <c r="J293" s="361"/>
      <c r="K293" s="361"/>
      <c r="L293" s="361"/>
      <c r="M293" s="362"/>
      <c r="N293" s="26">
        <v>5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</row>
    <row r="294" spans="1:223" ht="13.5" customHeight="1" x14ac:dyDescent="0.25">
      <c r="A294" s="28">
        <v>265</v>
      </c>
      <c r="B294" s="25"/>
      <c r="C294" s="360" t="s">
        <v>312</v>
      </c>
      <c r="D294" s="361"/>
      <c r="E294" s="361"/>
      <c r="F294" s="361"/>
      <c r="G294" s="361"/>
      <c r="H294" s="361"/>
      <c r="I294" s="361"/>
      <c r="J294" s="361"/>
      <c r="K294" s="361"/>
      <c r="L294" s="361"/>
      <c r="M294" s="362"/>
      <c r="N294" s="26">
        <v>7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</row>
    <row r="295" spans="1:223" ht="13.5" customHeight="1" x14ac:dyDescent="0.25">
      <c r="A295" s="27">
        <v>266</v>
      </c>
      <c r="B295" s="25"/>
      <c r="C295" s="363" t="s">
        <v>313</v>
      </c>
      <c r="D295" s="361"/>
      <c r="E295" s="361"/>
      <c r="F295" s="361"/>
      <c r="G295" s="361"/>
      <c r="H295" s="361"/>
      <c r="I295" s="361"/>
      <c r="J295" s="361"/>
      <c r="K295" s="361"/>
      <c r="L295" s="361"/>
      <c r="M295" s="362"/>
      <c r="N295" s="26">
        <v>9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</row>
    <row r="296" spans="1:223" ht="13.5" customHeight="1" x14ac:dyDescent="0.25">
      <c r="A296" s="28">
        <v>267</v>
      </c>
      <c r="B296" s="25"/>
      <c r="C296" s="360" t="s">
        <v>314</v>
      </c>
      <c r="D296" s="361"/>
      <c r="E296" s="361"/>
      <c r="F296" s="361"/>
      <c r="G296" s="361"/>
      <c r="H296" s="361"/>
      <c r="I296" s="361"/>
      <c r="J296" s="361"/>
      <c r="K296" s="361"/>
      <c r="L296" s="361"/>
      <c r="M296" s="362"/>
      <c r="N296" s="26">
        <v>4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</row>
    <row r="297" spans="1:223" ht="13.5" customHeight="1" x14ac:dyDescent="0.25">
      <c r="A297" s="27">
        <v>268</v>
      </c>
      <c r="B297" s="29"/>
      <c r="C297" s="363" t="s">
        <v>315</v>
      </c>
      <c r="D297" s="361"/>
      <c r="E297" s="361"/>
      <c r="F297" s="361"/>
      <c r="G297" s="361"/>
      <c r="H297" s="361"/>
      <c r="I297" s="361"/>
      <c r="J297" s="361"/>
      <c r="K297" s="361"/>
      <c r="L297" s="361"/>
      <c r="M297" s="362"/>
      <c r="N297" s="26">
        <v>1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</row>
    <row r="298" spans="1:223" ht="13.5" customHeight="1" x14ac:dyDescent="0.25">
      <c r="A298" s="28">
        <v>269</v>
      </c>
      <c r="B298" s="25"/>
      <c r="C298" s="360" t="s">
        <v>316</v>
      </c>
      <c r="D298" s="361"/>
      <c r="E298" s="361"/>
      <c r="F298" s="361"/>
      <c r="G298" s="361"/>
      <c r="H298" s="361"/>
      <c r="I298" s="361"/>
      <c r="J298" s="361"/>
      <c r="K298" s="361"/>
      <c r="L298" s="361"/>
      <c r="M298" s="362"/>
      <c r="N298" s="26">
        <v>6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</row>
    <row r="299" spans="1:223" ht="13.5" customHeight="1" x14ac:dyDescent="0.25">
      <c r="A299" s="30">
        <v>270</v>
      </c>
      <c r="B299" s="25"/>
      <c r="C299" s="363" t="s">
        <v>317</v>
      </c>
      <c r="D299" s="361"/>
      <c r="E299" s="361"/>
      <c r="F299" s="361"/>
      <c r="G299" s="361"/>
      <c r="H299" s="361"/>
      <c r="I299" s="361"/>
      <c r="J299" s="361"/>
      <c r="K299" s="361"/>
      <c r="L299" s="361"/>
      <c r="M299" s="362"/>
      <c r="N299" s="26">
        <v>2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</row>
    <row r="300" spans="1:223" ht="15.75" customHeight="1" x14ac:dyDescent="0.25">
      <c r="A300" s="31"/>
      <c r="B300" s="32">
        <f>SUM(B30:B299)</f>
        <v>0</v>
      </c>
      <c r="C300" s="33"/>
      <c r="D300" s="33"/>
      <c r="E300" s="33"/>
      <c r="F300" s="33"/>
      <c r="G300" s="33"/>
      <c r="H300" s="33"/>
      <c r="I300" s="34"/>
      <c r="J300" s="33"/>
      <c r="K300" s="33"/>
      <c r="L300" s="33"/>
      <c r="M300" s="35"/>
    </row>
    <row r="301" spans="1:223" ht="15.75" customHeight="1" x14ac:dyDescent="0.25">
      <c r="A301" s="364" t="s">
        <v>318</v>
      </c>
      <c r="B301" s="365"/>
      <c r="C301" s="365"/>
      <c r="D301" s="365"/>
      <c r="E301" s="365"/>
      <c r="F301" s="365"/>
      <c r="G301" s="365"/>
      <c r="H301" s="365"/>
      <c r="I301" s="365"/>
      <c r="J301" s="365"/>
      <c r="K301" s="365"/>
      <c r="L301" s="365"/>
      <c r="M301" s="366"/>
    </row>
    <row r="302" spans="1:223" ht="15.75" customHeight="1" x14ac:dyDescent="0.25">
      <c r="A302" s="367" t="s">
        <v>319</v>
      </c>
      <c r="B302" s="368"/>
      <c r="C302" s="368"/>
      <c r="D302" s="368"/>
      <c r="E302" s="368"/>
      <c r="F302" s="368"/>
      <c r="G302" s="368"/>
      <c r="H302" s="368"/>
      <c r="I302" s="368"/>
      <c r="J302" s="368"/>
      <c r="K302" s="368"/>
      <c r="L302" s="368"/>
      <c r="M302" s="369"/>
    </row>
    <row r="303" spans="1:223" ht="15.75" customHeight="1" x14ac:dyDescent="0.25">
      <c r="A303" s="367" t="s">
        <v>320</v>
      </c>
      <c r="B303" s="368"/>
      <c r="C303" s="368"/>
      <c r="D303" s="368"/>
      <c r="E303" s="368"/>
      <c r="F303" s="368"/>
      <c r="G303" s="368"/>
      <c r="H303" s="368"/>
      <c r="I303" s="368"/>
      <c r="J303" s="368"/>
      <c r="K303" s="368"/>
      <c r="L303" s="368"/>
      <c r="M303" s="369"/>
    </row>
    <row r="304" spans="1:223" ht="15.75" customHeight="1" x14ac:dyDescent="0.25">
      <c r="A304" s="370" t="s">
        <v>321</v>
      </c>
      <c r="B304" s="371"/>
      <c r="C304" s="371"/>
      <c r="D304" s="371"/>
      <c r="E304" s="371"/>
      <c r="F304" s="371"/>
      <c r="G304" s="371"/>
      <c r="H304" s="371"/>
      <c r="I304" s="371"/>
      <c r="J304" s="371"/>
      <c r="K304" s="371"/>
      <c r="L304" s="371"/>
      <c r="M304" s="372"/>
    </row>
    <row r="305" spans="1:223" ht="13.5" customHeight="1" x14ac:dyDescent="0.25">
      <c r="A305" s="24"/>
      <c r="B305" s="36"/>
      <c r="C305" s="373" t="s">
        <v>322</v>
      </c>
      <c r="D305" s="374"/>
      <c r="E305" s="374"/>
      <c r="F305" s="374"/>
      <c r="G305" s="374"/>
      <c r="H305" s="374"/>
      <c r="I305" s="374"/>
      <c r="J305" s="374"/>
      <c r="K305" s="374"/>
      <c r="L305" s="374"/>
      <c r="M305" s="375"/>
      <c r="N305" s="26">
        <v>9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</row>
    <row r="306" spans="1:223" ht="13.5" customHeight="1" x14ac:dyDescent="0.25">
      <c r="A306" s="27"/>
      <c r="B306" s="36"/>
      <c r="C306" s="363" t="s">
        <v>323</v>
      </c>
      <c r="D306" s="361"/>
      <c r="E306" s="361"/>
      <c r="F306" s="361"/>
      <c r="G306" s="361"/>
      <c r="H306" s="361"/>
      <c r="I306" s="361"/>
      <c r="J306" s="361"/>
      <c r="K306" s="361"/>
      <c r="L306" s="361"/>
      <c r="M306" s="362"/>
      <c r="N306" s="26">
        <v>1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</row>
    <row r="307" spans="1:223" ht="13.5" customHeight="1" x14ac:dyDescent="0.25">
      <c r="A307" s="28"/>
      <c r="B307" s="36"/>
      <c r="C307" s="360" t="s">
        <v>324</v>
      </c>
      <c r="D307" s="361"/>
      <c r="E307" s="361"/>
      <c r="F307" s="361"/>
      <c r="G307" s="361"/>
      <c r="H307" s="361"/>
      <c r="I307" s="361"/>
      <c r="J307" s="361"/>
      <c r="K307" s="361"/>
      <c r="L307" s="361"/>
      <c r="M307" s="362"/>
      <c r="N307" s="26">
        <v>4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</row>
    <row r="308" spans="1:223" ht="13.5" customHeight="1" x14ac:dyDescent="0.25">
      <c r="A308" s="27"/>
      <c r="B308" s="36"/>
      <c r="C308" s="363" t="s">
        <v>325</v>
      </c>
      <c r="D308" s="361"/>
      <c r="E308" s="361"/>
      <c r="F308" s="361"/>
      <c r="G308" s="361"/>
      <c r="H308" s="361"/>
      <c r="I308" s="361"/>
      <c r="J308" s="361"/>
      <c r="K308" s="361"/>
      <c r="L308" s="361"/>
      <c r="M308" s="362"/>
      <c r="N308" s="26">
        <v>2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</row>
    <row r="309" spans="1:223" ht="13.5" customHeight="1" x14ac:dyDescent="0.25">
      <c r="A309" s="28"/>
      <c r="B309" s="36"/>
      <c r="C309" s="360" t="s">
        <v>326</v>
      </c>
      <c r="D309" s="361"/>
      <c r="E309" s="361"/>
      <c r="F309" s="361"/>
      <c r="G309" s="361"/>
      <c r="H309" s="361"/>
      <c r="I309" s="361"/>
      <c r="J309" s="361"/>
      <c r="K309" s="361"/>
      <c r="L309" s="361"/>
      <c r="M309" s="362"/>
      <c r="N309" s="26">
        <v>6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</row>
    <row r="310" spans="1:223" ht="13.5" customHeight="1" x14ac:dyDescent="0.25">
      <c r="A310" s="27"/>
      <c r="B310" s="36"/>
      <c r="C310" s="363" t="s">
        <v>327</v>
      </c>
      <c r="D310" s="361"/>
      <c r="E310" s="361"/>
      <c r="F310" s="361"/>
      <c r="G310" s="361"/>
      <c r="H310" s="361"/>
      <c r="I310" s="361"/>
      <c r="J310" s="361"/>
      <c r="K310" s="361"/>
      <c r="L310" s="361"/>
      <c r="M310" s="362"/>
      <c r="N310" s="26">
        <v>8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</row>
    <row r="311" spans="1:223" ht="13.5" customHeight="1" x14ac:dyDescent="0.25">
      <c r="A311" s="28"/>
      <c r="B311" s="36"/>
      <c r="C311" s="360" t="s">
        <v>328</v>
      </c>
      <c r="D311" s="361"/>
      <c r="E311" s="361"/>
      <c r="F311" s="361"/>
      <c r="G311" s="361"/>
      <c r="H311" s="361"/>
      <c r="I311" s="361"/>
      <c r="J311" s="361"/>
      <c r="K311" s="361"/>
      <c r="L311" s="361"/>
      <c r="M311" s="362"/>
      <c r="N311" s="26">
        <v>5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</row>
    <row r="312" spans="1:223" ht="13.5" customHeight="1" x14ac:dyDescent="0.25">
      <c r="A312" s="27"/>
      <c r="B312" s="36"/>
      <c r="C312" s="363" t="s">
        <v>329</v>
      </c>
      <c r="D312" s="361"/>
      <c r="E312" s="361"/>
      <c r="F312" s="361"/>
      <c r="G312" s="361"/>
      <c r="H312" s="361"/>
      <c r="I312" s="361"/>
      <c r="J312" s="361"/>
      <c r="K312" s="361"/>
      <c r="L312" s="361"/>
      <c r="M312" s="362"/>
      <c r="N312" s="26">
        <v>7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</row>
    <row r="313" spans="1:223" ht="13.5" customHeight="1" x14ac:dyDescent="0.25">
      <c r="A313" s="37"/>
      <c r="B313" s="36"/>
      <c r="C313" s="376" t="s">
        <v>330</v>
      </c>
      <c r="D313" s="377"/>
      <c r="E313" s="377"/>
      <c r="F313" s="377"/>
      <c r="G313" s="377"/>
      <c r="H313" s="377"/>
      <c r="I313" s="377"/>
      <c r="J313" s="377"/>
      <c r="K313" s="377"/>
      <c r="L313" s="377"/>
      <c r="M313" s="378"/>
      <c r="N313" s="26">
        <v>3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</row>
    <row r="314" spans="1:223" ht="15.75" customHeight="1" x14ac:dyDescent="0.25">
      <c r="A314" s="38"/>
      <c r="B314" s="39"/>
      <c r="C314" s="40"/>
      <c r="D314" s="40"/>
      <c r="E314" s="40"/>
      <c r="F314" s="40"/>
      <c r="G314" s="40"/>
      <c r="H314" s="40"/>
      <c r="I314" s="41"/>
      <c r="J314" s="40"/>
      <c r="K314" s="40"/>
      <c r="L314" s="40"/>
      <c r="M314" s="42"/>
    </row>
    <row r="315" spans="1:223" ht="15.75" customHeight="1" x14ac:dyDescent="0.25">
      <c r="A315" s="364" t="s">
        <v>331</v>
      </c>
      <c r="B315" s="365"/>
      <c r="C315" s="365"/>
      <c r="D315" s="365"/>
      <c r="E315" s="365"/>
      <c r="F315" s="365"/>
      <c r="G315" s="365"/>
      <c r="H315" s="365"/>
      <c r="I315" s="365"/>
      <c r="J315" s="365"/>
      <c r="K315" s="365"/>
      <c r="L315" s="365"/>
      <c r="M315" s="366"/>
    </row>
    <row r="316" spans="1:223" ht="15.75" customHeight="1" x14ac:dyDescent="0.25">
      <c r="A316" s="367" t="s">
        <v>332</v>
      </c>
      <c r="B316" s="368"/>
      <c r="C316" s="368"/>
      <c r="D316" s="368"/>
      <c r="E316" s="368"/>
      <c r="F316" s="368"/>
      <c r="G316" s="368"/>
      <c r="H316" s="368"/>
      <c r="I316" s="368"/>
      <c r="J316" s="368"/>
      <c r="K316" s="368"/>
      <c r="L316" s="368"/>
      <c r="M316" s="369"/>
    </row>
    <row r="317" spans="1:223" ht="15.75" customHeight="1" x14ac:dyDescent="0.25">
      <c r="A317" s="370" t="s">
        <v>333</v>
      </c>
      <c r="B317" s="371"/>
      <c r="C317" s="371"/>
      <c r="D317" s="371"/>
      <c r="E317" s="371"/>
      <c r="F317" s="371"/>
      <c r="G317" s="371"/>
      <c r="H317" s="371"/>
      <c r="I317" s="371"/>
      <c r="J317" s="371"/>
      <c r="K317" s="371"/>
      <c r="L317" s="371"/>
      <c r="M317" s="372"/>
    </row>
    <row r="318" spans="1:223" ht="13.5" customHeight="1" x14ac:dyDescent="0.25">
      <c r="A318" s="43"/>
      <c r="B318" s="36"/>
      <c r="C318" s="384" t="s">
        <v>334</v>
      </c>
      <c r="D318" s="374"/>
      <c r="E318" s="374"/>
      <c r="F318" s="374"/>
      <c r="G318" s="374"/>
      <c r="H318" s="374"/>
      <c r="I318" s="374"/>
      <c r="J318" s="374"/>
      <c r="K318" s="374"/>
      <c r="L318" s="374"/>
      <c r="M318" s="375"/>
      <c r="N318" s="26">
        <v>3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</row>
    <row r="319" spans="1:223" ht="13.5" customHeight="1" x14ac:dyDescent="0.25">
      <c r="A319" s="28"/>
      <c r="B319" s="36"/>
      <c r="C319" s="360" t="s">
        <v>335</v>
      </c>
      <c r="D319" s="361"/>
      <c r="E319" s="361"/>
      <c r="F319" s="361"/>
      <c r="G319" s="361"/>
      <c r="H319" s="361"/>
      <c r="I319" s="361"/>
      <c r="J319" s="361"/>
      <c r="K319" s="361"/>
      <c r="L319" s="361"/>
      <c r="M319" s="362"/>
      <c r="N319" s="26">
        <v>7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</row>
    <row r="320" spans="1:223" ht="13.5" customHeight="1" x14ac:dyDescent="0.25">
      <c r="A320" s="27"/>
      <c r="B320" s="36"/>
      <c r="C320" s="363" t="s">
        <v>336</v>
      </c>
      <c r="D320" s="361"/>
      <c r="E320" s="361"/>
      <c r="F320" s="361"/>
      <c r="G320" s="361"/>
      <c r="H320" s="361"/>
      <c r="I320" s="361"/>
      <c r="J320" s="361"/>
      <c r="K320" s="361"/>
      <c r="L320" s="361"/>
      <c r="M320" s="362"/>
      <c r="N320" s="26">
        <v>5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</row>
    <row r="321" spans="1:223" ht="13.5" customHeight="1" x14ac:dyDescent="0.25">
      <c r="A321" s="28"/>
      <c r="B321" s="36"/>
      <c r="C321" s="360" t="s">
        <v>337</v>
      </c>
      <c r="D321" s="361"/>
      <c r="E321" s="361"/>
      <c r="F321" s="361"/>
      <c r="G321" s="361"/>
      <c r="H321" s="361"/>
      <c r="I321" s="361"/>
      <c r="J321" s="361"/>
      <c r="K321" s="361"/>
      <c r="L321" s="361"/>
      <c r="M321" s="362"/>
      <c r="N321" s="26">
        <v>8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</row>
    <row r="322" spans="1:223" ht="13.5" customHeight="1" x14ac:dyDescent="0.25">
      <c r="A322" s="27"/>
      <c r="B322" s="36"/>
      <c r="C322" s="363" t="s">
        <v>338</v>
      </c>
      <c r="D322" s="361"/>
      <c r="E322" s="361"/>
      <c r="F322" s="361"/>
      <c r="G322" s="361"/>
      <c r="H322" s="361"/>
      <c r="I322" s="361"/>
      <c r="J322" s="361"/>
      <c r="K322" s="361"/>
      <c r="L322" s="361"/>
      <c r="M322" s="362"/>
      <c r="N322" s="26">
        <v>6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</row>
    <row r="323" spans="1:223" ht="13.5" customHeight="1" x14ac:dyDescent="0.25">
      <c r="A323" s="28"/>
      <c r="B323" s="36"/>
      <c r="C323" s="360" t="s">
        <v>339</v>
      </c>
      <c r="D323" s="361"/>
      <c r="E323" s="361"/>
      <c r="F323" s="361"/>
      <c r="G323" s="361"/>
      <c r="H323" s="361"/>
      <c r="I323" s="361"/>
      <c r="J323" s="361"/>
      <c r="K323" s="361"/>
      <c r="L323" s="361"/>
      <c r="M323" s="362"/>
      <c r="N323" s="26">
        <v>2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</row>
    <row r="324" spans="1:223" ht="13.5" customHeight="1" x14ac:dyDescent="0.25">
      <c r="A324" s="27"/>
      <c r="B324" s="36"/>
      <c r="C324" s="363" t="s">
        <v>340</v>
      </c>
      <c r="D324" s="361"/>
      <c r="E324" s="361"/>
      <c r="F324" s="361"/>
      <c r="G324" s="361"/>
      <c r="H324" s="361"/>
      <c r="I324" s="361"/>
      <c r="J324" s="361"/>
      <c r="K324" s="361"/>
      <c r="L324" s="361"/>
      <c r="M324" s="362"/>
      <c r="N324" s="26">
        <v>4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</row>
    <row r="325" spans="1:223" ht="13.5" customHeight="1" x14ac:dyDescent="0.25">
      <c r="A325" s="28"/>
      <c r="B325" s="36"/>
      <c r="C325" s="360" t="s">
        <v>341</v>
      </c>
      <c r="D325" s="361"/>
      <c r="E325" s="361"/>
      <c r="F325" s="361"/>
      <c r="G325" s="361"/>
      <c r="H325" s="361"/>
      <c r="I325" s="361"/>
      <c r="J325" s="361"/>
      <c r="K325" s="361"/>
      <c r="L325" s="361"/>
      <c r="M325" s="362"/>
      <c r="N325" s="26">
        <v>1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</row>
    <row r="326" spans="1:223" ht="13.5" customHeight="1" x14ac:dyDescent="0.25">
      <c r="A326" s="30"/>
      <c r="B326" s="36"/>
      <c r="C326" s="379" t="s">
        <v>342</v>
      </c>
      <c r="D326" s="377"/>
      <c r="E326" s="377"/>
      <c r="F326" s="377"/>
      <c r="G326" s="377"/>
      <c r="H326" s="377"/>
      <c r="I326" s="377"/>
      <c r="J326" s="377"/>
      <c r="K326" s="377"/>
      <c r="L326" s="377"/>
      <c r="M326" s="378"/>
      <c r="N326" s="26">
        <v>9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</row>
    <row r="327" spans="1:223" ht="15.75" customHeight="1" x14ac:dyDescent="0.25">
      <c r="A327" s="31"/>
      <c r="B327" s="32"/>
      <c r="C327" s="33"/>
      <c r="D327" s="33"/>
      <c r="E327" s="33"/>
      <c r="F327" s="33"/>
      <c r="G327" s="33"/>
      <c r="H327" s="33"/>
      <c r="I327" s="34"/>
      <c r="J327" s="33"/>
      <c r="K327" s="33"/>
      <c r="L327" s="33"/>
      <c r="M327" s="35"/>
    </row>
    <row r="328" spans="1:223" ht="15.75" customHeight="1" x14ac:dyDescent="0.25">
      <c r="A328" s="380" t="s">
        <v>343</v>
      </c>
      <c r="B328" s="365"/>
      <c r="C328" s="365"/>
      <c r="D328" s="365"/>
      <c r="E328" s="365"/>
      <c r="F328" s="365"/>
      <c r="G328" s="365"/>
      <c r="H328" s="365"/>
      <c r="I328" s="365"/>
      <c r="J328" s="365"/>
      <c r="K328" s="365"/>
      <c r="L328" s="365"/>
      <c r="M328" s="36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</row>
    <row r="329" spans="1:223" ht="15.75" customHeight="1" x14ac:dyDescent="0.25">
      <c r="A329" s="381" t="s">
        <v>344</v>
      </c>
      <c r="B329" s="371"/>
      <c r="C329" s="371"/>
      <c r="D329" s="371"/>
      <c r="E329" s="371"/>
      <c r="F329" s="371"/>
      <c r="G329" s="371"/>
      <c r="H329" s="371"/>
      <c r="I329" s="371"/>
      <c r="J329" s="371"/>
      <c r="K329" s="371"/>
      <c r="L329" s="371"/>
      <c r="M329" s="372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</row>
    <row r="330" spans="1:223" ht="15.75" customHeight="1" x14ac:dyDescent="0.25">
      <c r="A330" s="382" t="s">
        <v>345</v>
      </c>
      <c r="B330" s="365"/>
      <c r="C330" s="365"/>
      <c r="D330" s="365"/>
      <c r="E330" s="365"/>
      <c r="F330" s="365"/>
      <c r="G330" s="365"/>
      <c r="H330" s="365"/>
      <c r="I330" s="365"/>
      <c r="J330" s="365"/>
      <c r="K330" s="365"/>
      <c r="L330" s="365"/>
      <c r="M330" s="36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</row>
    <row r="331" spans="1:223" ht="15.75" customHeight="1" x14ac:dyDescent="0.25">
      <c r="A331" s="383" t="s">
        <v>346</v>
      </c>
      <c r="B331" s="371"/>
      <c r="C331" s="371"/>
      <c r="D331" s="371"/>
      <c r="E331" s="371"/>
      <c r="F331" s="371"/>
      <c r="G331" s="371"/>
      <c r="H331" s="371"/>
      <c r="I331" s="371"/>
      <c r="J331" s="371"/>
      <c r="K331" s="371"/>
      <c r="L331" s="371"/>
      <c r="M331" s="372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</row>
  </sheetData>
  <mergeCells count="338">
    <mergeCell ref="C233:M233"/>
    <mergeCell ref="C234:M234"/>
    <mergeCell ref="C235:M235"/>
    <mergeCell ref="C236:M236"/>
    <mergeCell ref="C237:M237"/>
    <mergeCell ref="C238:M238"/>
    <mergeCell ref="C224:M224"/>
    <mergeCell ref="C225:M225"/>
    <mergeCell ref="C226:M226"/>
    <mergeCell ref="C227:M227"/>
    <mergeCell ref="C228:M228"/>
    <mergeCell ref="C229:M229"/>
    <mergeCell ref="C230:M230"/>
    <mergeCell ref="C231:M231"/>
    <mergeCell ref="C232:M232"/>
    <mergeCell ref="C215:M215"/>
    <mergeCell ref="C216:M216"/>
    <mergeCell ref="C217:M217"/>
    <mergeCell ref="C218:M218"/>
    <mergeCell ref="C219:M219"/>
    <mergeCell ref="C220:M220"/>
    <mergeCell ref="C221:M221"/>
    <mergeCell ref="C222:M222"/>
    <mergeCell ref="C223:M223"/>
    <mergeCell ref="C206:M206"/>
    <mergeCell ref="C207:M207"/>
    <mergeCell ref="C208:M208"/>
    <mergeCell ref="C209:M209"/>
    <mergeCell ref="C210:M210"/>
    <mergeCell ref="C211:M211"/>
    <mergeCell ref="C212:M212"/>
    <mergeCell ref="C213:M213"/>
    <mergeCell ref="C214:M214"/>
    <mergeCell ref="C197:M197"/>
    <mergeCell ref="C198:M198"/>
    <mergeCell ref="C199:M199"/>
    <mergeCell ref="C200:M200"/>
    <mergeCell ref="C201:M201"/>
    <mergeCell ref="C202:M202"/>
    <mergeCell ref="C203:M203"/>
    <mergeCell ref="C204:M204"/>
    <mergeCell ref="C205:M205"/>
    <mergeCell ref="C188:M188"/>
    <mergeCell ref="C189:M189"/>
    <mergeCell ref="C190:M190"/>
    <mergeCell ref="C191:M191"/>
    <mergeCell ref="C192:M192"/>
    <mergeCell ref="C193:M193"/>
    <mergeCell ref="C194:M194"/>
    <mergeCell ref="C195:M195"/>
    <mergeCell ref="C196:M196"/>
    <mergeCell ref="C179:M179"/>
    <mergeCell ref="C180:M180"/>
    <mergeCell ref="C181:M181"/>
    <mergeCell ref="C182:M182"/>
    <mergeCell ref="C183:M183"/>
    <mergeCell ref="C184:M184"/>
    <mergeCell ref="C185:M185"/>
    <mergeCell ref="C186:M186"/>
    <mergeCell ref="C187:M187"/>
    <mergeCell ref="C170:M170"/>
    <mergeCell ref="C171:M171"/>
    <mergeCell ref="C172:M172"/>
    <mergeCell ref="C173:M173"/>
    <mergeCell ref="C174:M174"/>
    <mergeCell ref="C175:M175"/>
    <mergeCell ref="C176:M176"/>
    <mergeCell ref="C177:M177"/>
    <mergeCell ref="C178:M178"/>
    <mergeCell ref="C161:M161"/>
    <mergeCell ref="C162:M162"/>
    <mergeCell ref="C163:M163"/>
    <mergeCell ref="C164:M164"/>
    <mergeCell ref="C165:M165"/>
    <mergeCell ref="C166:M166"/>
    <mergeCell ref="C167:M167"/>
    <mergeCell ref="C168:M168"/>
    <mergeCell ref="C169:M169"/>
    <mergeCell ref="C152:M152"/>
    <mergeCell ref="C153:M153"/>
    <mergeCell ref="C154:M154"/>
    <mergeCell ref="C155:M155"/>
    <mergeCell ref="C156:M156"/>
    <mergeCell ref="C157:M157"/>
    <mergeCell ref="C158:M158"/>
    <mergeCell ref="C159:M159"/>
    <mergeCell ref="C160:M160"/>
    <mergeCell ref="C143:M143"/>
    <mergeCell ref="C144:M144"/>
    <mergeCell ref="C145:M145"/>
    <mergeCell ref="C146:M146"/>
    <mergeCell ref="C147:M147"/>
    <mergeCell ref="C148:M148"/>
    <mergeCell ref="C149:M149"/>
    <mergeCell ref="C150:M150"/>
    <mergeCell ref="C151:M151"/>
    <mergeCell ref="C134:M134"/>
    <mergeCell ref="C135:M135"/>
    <mergeCell ref="C136:M136"/>
    <mergeCell ref="C137:M137"/>
    <mergeCell ref="C138:M138"/>
    <mergeCell ref="C139:M139"/>
    <mergeCell ref="C140:M140"/>
    <mergeCell ref="C141:M141"/>
    <mergeCell ref="C142:M142"/>
    <mergeCell ref="C125:M125"/>
    <mergeCell ref="C126:M126"/>
    <mergeCell ref="C127:M127"/>
    <mergeCell ref="C128:M128"/>
    <mergeCell ref="C129:M129"/>
    <mergeCell ref="C130:M130"/>
    <mergeCell ref="C131:M131"/>
    <mergeCell ref="C132:M132"/>
    <mergeCell ref="C133:M133"/>
    <mergeCell ref="C116:M116"/>
    <mergeCell ref="C117:M117"/>
    <mergeCell ref="C118:M118"/>
    <mergeCell ref="C119:M119"/>
    <mergeCell ref="C120:M120"/>
    <mergeCell ref="C121:M121"/>
    <mergeCell ref="C122:M122"/>
    <mergeCell ref="C123:M123"/>
    <mergeCell ref="C124:M124"/>
    <mergeCell ref="C107:M107"/>
    <mergeCell ref="C108:M108"/>
    <mergeCell ref="C109:M109"/>
    <mergeCell ref="C110:M110"/>
    <mergeCell ref="C111:M111"/>
    <mergeCell ref="C112:M112"/>
    <mergeCell ref="C113:M113"/>
    <mergeCell ref="C114:M114"/>
    <mergeCell ref="C115:M115"/>
    <mergeCell ref="C98:M98"/>
    <mergeCell ref="C99:M99"/>
    <mergeCell ref="C100:M100"/>
    <mergeCell ref="C101:M101"/>
    <mergeCell ref="C102:M102"/>
    <mergeCell ref="C103:M103"/>
    <mergeCell ref="C104:M104"/>
    <mergeCell ref="C105:M105"/>
    <mergeCell ref="C106:M106"/>
    <mergeCell ref="C89:M89"/>
    <mergeCell ref="C90:M90"/>
    <mergeCell ref="C91:M91"/>
    <mergeCell ref="C92:M92"/>
    <mergeCell ref="C93:M93"/>
    <mergeCell ref="C94:M94"/>
    <mergeCell ref="C95:M95"/>
    <mergeCell ref="C96:M96"/>
    <mergeCell ref="C97:M97"/>
    <mergeCell ref="C80:M80"/>
    <mergeCell ref="C81:M81"/>
    <mergeCell ref="C82:M82"/>
    <mergeCell ref="C83:M83"/>
    <mergeCell ref="C84:M84"/>
    <mergeCell ref="C85:M85"/>
    <mergeCell ref="C86:M86"/>
    <mergeCell ref="C87:M87"/>
    <mergeCell ref="C88:M88"/>
    <mergeCell ref="C71:M71"/>
    <mergeCell ref="C72:M72"/>
    <mergeCell ref="C73:M73"/>
    <mergeCell ref="C74:M74"/>
    <mergeCell ref="C75:M75"/>
    <mergeCell ref="C76:M76"/>
    <mergeCell ref="C77:M77"/>
    <mergeCell ref="C78:M78"/>
    <mergeCell ref="C79:M79"/>
    <mergeCell ref="C62:M62"/>
    <mergeCell ref="C63:M63"/>
    <mergeCell ref="C64:M64"/>
    <mergeCell ref="C65:M65"/>
    <mergeCell ref="C66:M66"/>
    <mergeCell ref="C67:M67"/>
    <mergeCell ref="C68:M68"/>
    <mergeCell ref="C69:M69"/>
    <mergeCell ref="C70:M70"/>
    <mergeCell ref="C53:M53"/>
    <mergeCell ref="C54:M54"/>
    <mergeCell ref="C55:M55"/>
    <mergeCell ref="C56:M56"/>
    <mergeCell ref="C57:M57"/>
    <mergeCell ref="C58:M58"/>
    <mergeCell ref="C59:M59"/>
    <mergeCell ref="C60:M60"/>
    <mergeCell ref="C61:M61"/>
    <mergeCell ref="C44:M44"/>
    <mergeCell ref="C45:M45"/>
    <mergeCell ref="C46:M46"/>
    <mergeCell ref="C47:M47"/>
    <mergeCell ref="C48:M48"/>
    <mergeCell ref="C49:M49"/>
    <mergeCell ref="C50:M50"/>
    <mergeCell ref="C51:M51"/>
    <mergeCell ref="C52:M52"/>
    <mergeCell ref="E19:M19"/>
    <mergeCell ref="C36:M36"/>
    <mergeCell ref="C37:M37"/>
    <mergeCell ref="C38:M38"/>
    <mergeCell ref="C39:M39"/>
    <mergeCell ref="C40:M40"/>
    <mergeCell ref="C41:M41"/>
    <mergeCell ref="C42:M42"/>
    <mergeCell ref="C43:M43"/>
    <mergeCell ref="C33:M33"/>
    <mergeCell ref="C34:M34"/>
    <mergeCell ref="C35:M35"/>
    <mergeCell ref="A1:M1"/>
    <mergeCell ref="A2:M2"/>
    <mergeCell ref="A3:B3"/>
    <mergeCell ref="C3:E3"/>
    <mergeCell ref="F3:M3"/>
    <mergeCell ref="A4:B4"/>
    <mergeCell ref="C4:M4"/>
    <mergeCell ref="C8:D8"/>
    <mergeCell ref="E8:M8"/>
    <mergeCell ref="A5:B5"/>
    <mergeCell ref="C5:E5"/>
    <mergeCell ref="F5:M5"/>
    <mergeCell ref="A7:B7"/>
    <mergeCell ref="C7:D7"/>
    <mergeCell ref="E7:M7"/>
    <mergeCell ref="A8:B8"/>
    <mergeCell ref="E14:M14"/>
    <mergeCell ref="E15:M15"/>
    <mergeCell ref="E16:M16"/>
    <mergeCell ref="E17:M17"/>
    <mergeCell ref="E18:M18"/>
    <mergeCell ref="C284:M284"/>
    <mergeCell ref="C285:M285"/>
    <mergeCell ref="C286:M286"/>
    <mergeCell ref="C287:M287"/>
    <mergeCell ref="E20:M20"/>
    <mergeCell ref="E21:M21"/>
    <mergeCell ref="A9:B9"/>
    <mergeCell ref="C9:M9"/>
    <mergeCell ref="A10:B21"/>
    <mergeCell ref="E10:M10"/>
    <mergeCell ref="E11:M11"/>
    <mergeCell ref="E12:M12"/>
    <mergeCell ref="E13:M13"/>
    <mergeCell ref="A22:M22"/>
    <mergeCell ref="A23:M23"/>
    <mergeCell ref="A24:M24"/>
    <mergeCell ref="A25:M25"/>
    <mergeCell ref="A26:M26"/>
    <mergeCell ref="A27:M27"/>
    <mergeCell ref="A28:M28"/>
    <mergeCell ref="A29:M29"/>
    <mergeCell ref="C30:M30"/>
    <mergeCell ref="C31:M31"/>
    <mergeCell ref="C32:M32"/>
    <mergeCell ref="C275:M275"/>
    <mergeCell ref="C276:M276"/>
    <mergeCell ref="C277:M277"/>
    <mergeCell ref="C278:M278"/>
    <mergeCell ref="C279:M279"/>
    <mergeCell ref="C280:M280"/>
    <mergeCell ref="C281:M281"/>
    <mergeCell ref="C282:M282"/>
    <mergeCell ref="C283:M283"/>
    <mergeCell ref="C266:M266"/>
    <mergeCell ref="C267:M267"/>
    <mergeCell ref="C268:M268"/>
    <mergeCell ref="C269:M269"/>
    <mergeCell ref="C270:M270"/>
    <mergeCell ref="C271:M271"/>
    <mergeCell ref="C272:M272"/>
    <mergeCell ref="C273:M273"/>
    <mergeCell ref="C274:M274"/>
    <mergeCell ref="C257:M257"/>
    <mergeCell ref="C258:M258"/>
    <mergeCell ref="C259:M259"/>
    <mergeCell ref="C260:M260"/>
    <mergeCell ref="C261:M261"/>
    <mergeCell ref="C262:M262"/>
    <mergeCell ref="C263:M263"/>
    <mergeCell ref="C264:M264"/>
    <mergeCell ref="C265:M265"/>
    <mergeCell ref="C248:M248"/>
    <mergeCell ref="C249:M249"/>
    <mergeCell ref="C250:M250"/>
    <mergeCell ref="C251:M251"/>
    <mergeCell ref="C252:M252"/>
    <mergeCell ref="C253:M253"/>
    <mergeCell ref="C254:M254"/>
    <mergeCell ref="C255:M255"/>
    <mergeCell ref="C256:M256"/>
    <mergeCell ref="C239:M239"/>
    <mergeCell ref="C240:M240"/>
    <mergeCell ref="C241:M241"/>
    <mergeCell ref="C242:M242"/>
    <mergeCell ref="C243:M243"/>
    <mergeCell ref="C244:M244"/>
    <mergeCell ref="C245:M245"/>
    <mergeCell ref="C246:M246"/>
    <mergeCell ref="C247:M247"/>
    <mergeCell ref="A317:M317"/>
    <mergeCell ref="C325:M325"/>
    <mergeCell ref="C326:M326"/>
    <mergeCell ref="A328:M328"/>
    <mergeCell ref="A329:M329"/>
    <mergeCell ref="A330:M330"/>
    <mergeCell ref="A331:M331"/>
    <mergeCell ref="C318:M318"/>
    <mergeCell ref="C319:M319"/>
    <mergeCell ref="C320:M320"/>
    <mergeCell ref="C321:M321"/>
    <mergeCell ref="C322:M322"/>
    <mergeCell ref="C323:M323"/>
    <mergeCell ref="C324:M324"/>
    <mergeCell ref="C307:M307"/>
    <mergeCell ref="C308:M308"/>
    <mergeCell ref="C309:M309"/>
    <mergeCell ref="C310:M310"/>
    <mergeCell ref="C311:M311"/>
    <mergeCell ref="C312:M312"/>
    <mergeCell ref="C313:M313"/>
    <mergeCell ref="A315:M315"/>
    <mergeCell ref="A316:M316"/>
    <mergeCell ref="C297:M297"/>
    <mergeCell ref="C298:M298"/>
    <mergeCell ref="C299:M299"/>
    <mergeCell ref="A301:M301"/>
    <mergeCell ref="A302:M302"/>
    <mergeCell ref="A303:M303"/>
    <mergeCell ref="A304:M304"/>
    <mergeCell ref="C305:M305"/>
    <mergeCell ref="C306:M306"/>
    <mergeCell ref="C288:M288"/>
    <mergeCell ref="C289:M289"/>
    <mergeCell ref="C290:M290"/>
    <mergeCell ref="C291:M291"/>
    <mergeCell ref="C292:M292"/>
    <mergeCell ref="C293:M293"/>
    <mergeCell ref="C294:M294"/>
    <mergeCell ref="C295:M295"/>
    <mergeCell ref="C296:M296"/>
  </mergeCells>
  <dataValidations count="8">
    <dataValidation type="decimal" operator="lessThan" allowBlank="1" showErrorMessage="1" sqref="C6" xr:uid="{00000000-0002-0000-0000-000000000000}">
      <formula1>100</formula1>
    </dataValidation>
    <dataValidation type="date" allowBlank="1" showInputMessage="1" showErrorMessage="1" prompt="El dato que intentas introducir es erróneo" sqref="C3" xr:uid="{00000000-0002-0000-0000-000001000000}">
      <formula1>41579</formula1>
      <formula2>47848</formula2>
    </dataValidation>
    <dataValidation type="decimal" operator="equal" allowBlank="1" showInputMessage="1" showErrorMessage="1" prompt="Error de número - Si te identificas con esta afirmación, coloca el N° 1; si no te identificas, deja la celda en blanco" sqref="B30:B299" xr:uid="{00000000-0002-0000-0000-000002000000}">
      <formula1>1</formula1>
    </dataValidation>
    <dataValidation type="custom" allowBlank="1" showInputMessage="1" showErrorMessage="1" prompt="Incorrecto, por favor escribe &quot;Femenino&quot; o &quot;Masculino&quot;." sqref="C7" xr:uid="{00000000-0002-0000-0000-000003000000}">
      <formula1>AND(GTE(LEN(C7),MIN((8),(9))),LTE(LEN(C7),MAX((8),(9))))</formula1>
    </dataValidation>
    <dataValidation type="decimal" allowBlank="1" showInputMessage="1" showErrorMessage="1" prompt="Error de bnúmero - Escribe el N° 1 si es el verbo con el que más te identificas y N° 2 si es el verbo con el que menos te identificas, de lo contrario deja la celda en blanco." sqref="B318:B326" xr:uid="{00000000-0002-0000-0000-000004000000}">
      <formula1>1</formula1>
      <formula2>2</formula2>
    </dataValidation>
    <dataValidation type="decimal" allowBlank="1" showInputMessage="1" showErrorMessage="1" prompt="Número erróneo - Si esta es la afirmación con la que más te identificas, coloca el N° 1; si es la segunda, coloca el N° 2; si es la tercera, coloca el N° 3; de lo contrario deja la celda en blanco." sqref="B305:B313" xr:uid="{00000000-0002-0000-0000-000005000000}">
      <formula1>1</formula1>
      <formula2>3</formula2>
    </dataValidation>
    <dataValidation type="date" operator="lessThanOrEqual" allowBlank="1" showErrorMessage="1" sqref="C5" xr:uid="{00000000-0002-0000-0000-000006000000}">
      <formula1>47848</formula1>
    </dataValidation>
    <dataValidation type="decimal" allowBlank="1" showInputMessage="1" showErrorMessage="1" prompt="Número incorrecto - Si este es tu signo de zodíaco, debes escribir el N° &quot;1&quot;; si no lo es, deja la celda en blanco." sqref="C10:C21" xr:uid="{00000000-0002-0000-0000-000007000000}">
      <formula1>0</formula1>
      <formula2>1</formula2>
    </dataValidation>
  </dataValidations>
  <printOptions horizontalCentered="1"/>
  <pageMargins left="0.17" right="0.74" top="0.17" bottom="0.17" header="0" footer="0"/>
  <pageSetup paperSize="9" scale="110" orientation="portrait"/>
  <headerFooter>
    <oddHeader>&amp;CENEAGRAMA</oddHeader>
    <oddFooter>&amp;CPágina &amp;P de &amp;RIDENTIFICACIÓN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1000"/>
  <sheetViews>
    <sheetView showGridLines="0" topLeftCell="A104" workbookViewId="0"/>
  </sheetViews>
  <sheetFormatPr baseColWidth="10" defaultColWidth="12.6640625" defaultRowHeight="15" customHeight="1" x14ac:dyDescent="0.25"/>
  <cols>
    <col min="1" max="1" width="11.44140625" customWidth="1"/>
    <col min="2" max="2" width="8" customWidth="1"/>
    <col min="3" max="11" width="8.109375" customWidth="1"/>
    <col min="12" max="20" width="8.6640625" customWidth="1"/>
    <col min="21" max="23" width="8.109375" customWidth="1"/>
    <col min="24" max="24" width="7.6640625" customWidth="1"/>
    <col min="25" max="25" width="8.88671875" customWidth="1"/>
    <col min="26" max="28" width="8.109375" customWidth="1"/>
    <col min="29" max="29" width="9.44140625" customWidth="1"/>
    <col min="30" max="32" width="8.109375" customWidth="1"/>
    <col min="33" max="33" width="9.44140625" customWidth="1"/>
    <col min="34" max="34" width="8.109375" customWidth="1"/>
    <col min="35" max="35" width="11.6640625" customWidth="1"/>
    <col min="36" max="36" width="3.44140625" customWidth="1"/>
    <col min="37" max="39" width="3" customWidth="1"/>
    <col min="40" max="40" width="13.44140625" customWidth="1"/>
    <col min="41" max="41" width="25.33203125" customWidth="1"/>
    <col min="42" max="51" width="7.44140625" customWidth="1"/>
  </cols>
  <sheetData>
    <row r="1" spans="1:51" ht="12.75" hidden="1" customHeight="1" x14ac:dyDescent="0.3">
      <c r="B1" s="475" t="s">
        <v>347</v>
      </c>
      <c r="C1" s="475" t="s">
        <v>348</v>
      </c>
      <c r="D1" s="473" t="s">
        <v>349</v>
      </c>
      <c r="E1" s="361"/>
      <c r="F1" s="361"/>
      <c r="G1" s="361"/>
      <c r="H1" s="361"/>
      <c r="I1" s="361"/>
      <c r="J1" s="361"/>
      <c r="K1" s="361"/>
      <c r="L1" s="388"/>
      <c r="M1" s="475" t="s">
        <v>347</v>
      </c>
      <c r="N1" s="475" t="s">
        <v>348</v>
      </c>
      <c r="O1" s="473" t="s">
        <v>349</v>
      </c>
      <c r="P1" s="361"/>
      <c r="Q1" s="361"/>
      <c r="R1" s="361"/>
      <c r="S1" s="361"/>
      <c r="T1" s="361"/>
      <c r="U1" s="361"/>
      <c r="V1" s="361"/>
      <c r="W1" s="388"/>
      <c r="X1" s="475" t="s">
        <v>347</v>
      </c>
      <c r="Y1" s="475" t="s">
        <v>348</v>
      </c>
      <c r="Z1" s="473" t="s">
        <v>349</v>
      </c>
      <c r="AA1" s="361"/>
      <c r="AB1" s="361"/>
      <c r="AC1" s="361"/>
      <c r="AD1" s="361"/>
      <c r="AE1" s="361"/>
      <c r="AF1" s="361"/>
      <c r="AG1" s="361"/>
      <c r="AH1" s="388"/>
      <c r="AL1" s="18"/>
      <c r="AM1" s="18"/>
      <c r="AN1" s="44" t="s">
        <v>350</v>
      </c>
      <c r="AO1" s="44" t="s">
        <v>351</v>
      </c>
      <c r="AP1" s="474" t="s">
        <v>352</v>
      </c>
      <c r="AQ1" s="407"/>
      <c r="AR1" s="474" t="s">
        <v>353</v>
      </c>
      <c r="AS1" s="407"/>
      <c r="AT1" s="474" t="s">
        <v>354</v>
      </c>
      <c r="AU1" s="407"/>
      <c r="AV1" s="474" t="s">
        <v>355</v>
      </c>
      <c r="AW1" s="407"/>
      <c r="AX1" s="474" t="s">
        <v>356</v>
      </c>
      <c r="AY1" s="407"/>
    </row>
    <row r="2" spans="1:51" ht="12.75" hidden="1" customHeight="1" x14ac:dyDescent="0.25">
      <c r="A2" s="45"/>
      <c r="B2" s="476"/>
      <c r="C2" s="476"/>
      <c r="D2" s="46">
        <v>1</v>
      </c>
      <c r="E2" s="46">
        <v>2</v>
      </c>
      <c r="F2" s="46">
        <v>3</v>
      </c>
      <c r="G2" s="46">
        <v>4</v>
      </c>
      <c r="H2" s="46">
        <v>5</v>
      </c>
      <c r="I2" s="46">
        <v>6</v>
      </c>
      <c r="J2" s="46">
        <v>7</v>
      </c>
      <c r="K2" s="46">
        <v>8</v>
      </c>
      <c r="L2" s="46">
        <v>9</v>
      </c>
      <c r="M2" s="476"/>
      <c r="N2" s="476"/>
      <c r="O2" s="46">
        <v>1</v>
      </c>
      <c r="P2" s="46">
        <v>2</v>
      </c>
      <c r="Q2" s="46">
        <v>3</v>
      </c>
      <c r="R2" s="46">
        <v>4</v>
      </c>
      <c r="S2" s="46">
        <v>5</v>
      </c>
      <c r="T2" s="46">
        <v>6</v>
      </c>
      <c r="U2" s="46">
        <v>7</v>
      </c>
      <c r="V2" s="46">
        <v>8</v>
      </c>
      <c r="W2" s="46">
        <v>9</v>
      </c>
      <c r="X2" s="476"/>
      <c r="Y2" s="476"/>
      <c r="Z2" s="46">
        <v>1</v>
      </c>
      <c r="AA2" s="46">
        <v>2</v>
      </c>
      <c r="AB2" s="46">
        <v>3</v>
      </c>
      <c r="AC2" s="46">
        <v>4</v>
      </c>
      <c r="AD2" s="46">
        <v>5</v>
      </c>
      <c r="AE2" s="46">
        <v>6</v>
      </c>
      <c r="AF2" s="46">
        <v>7</v>
      </c>
      <c r="AG2" s="46">
        <v>8</v>
      </c>
      <c r="AH2" s="46">
        <v>9</v>
      </c>
      <c r="AJ2" s="17">
        <f>+IF(AND(AFIRMACIONES!$C$6&gt;=AL2,AFIRMACIONES!$C$6&lt;=AM2),1,0)</f>
        <v>0</v>
      </c>
      <c r="AK2" s="17">
        <v>1</v>
      </c>
      <c r="AL2" s="47">
        <v>1</v>
      </c>
      <c r="AM2" s="47">
        <v>6</v>
      </c>
      <c r="AN2" s="48" t="s">
        <v>357</v>
      </c>
      <c r="AO2" s="49" t="s">
        <v>358</v>
      </c>
      <c r="AP2" s="477" t="s">
        <v>359</v>
      </c>
      <c r="AQ2" s="388"/>
      <c r="AR2" s="477" t="s">
        <v>360</v>
      </c>
      <c r="AS2" s="388"/>
      <c r="AT2" s="477" t="s">
        <v>361</v>
      </c>
      <c r="AU2" s="388"/>
      <c r="AV2" s="477" t="s">
        <v>362</v>
      </c>
      <c r="AW2" s="388"/>
      <c r="AX2" s="477" t="s">
        <v>363</v>
      </c>
      <c r="AY2" s="388"/>
    </row>
    <row r="3" spans="1:51" ht="12.75" hidden="1" customHeight="1" x14ac:dyDescent="0.25">
      <c r="B3" s="50">
        <v>1</v>
      </c>
      <c r="C3" s="51">
        <v>8</v>
      </c>
      <c r="D3" s="52"/>
      <c r="E3" s="53"/>
      <c r="F3" s="53"/>
      <c r="G3" s="53"/>
      <c r="H3" s="53"/>
      <c r="I3" s="53"/>
      <c r="J3" s="53"/>
      <c r="K3" s="54">
        <f>+AFIRMACIONES!B30</f>
        <v>0</v>
      </c>
      <c r="L3" s="53"/>
      <c r="M3" s="50">
        <v>100</v>
      </c>
      <c r="N3" s="51">
        <v>5</v>
      </c>
      <c r="O3" s="53"/>
      <c r="P3" s="53"/>
      <c r="Q3" s="53"/>
      <c r="R3" s="53"/>
      <c r="S3" s="54">
        <f>+AFIRMACIONES!B129</f>
        <v>0</v>
      </c>
      <c r="T3" s="53"/>
      <c r="U3" s="53"/>
      <c r="V3" s="53"/>
      <c r="W3" s="52"/>
      <c r="X3" s="50">
        <v>199</v>
      </c>
      <c r="Y3" s="51">
        <v>7</v>
      </c>
      <c r="Z3" s="53"/>
      <c r="AA3" s="53"/>
      <c r="AB3" s="55"/>
      <c r="AC3" s="53"/>
      <c r="AD3" s="53"/>
      <c r="AE3" s="52"/>
      <c r="AF3" s="54">
        <f>+AFIRMACIONES!B228</f>
        <v>0</v>
      </c>
      <c r="AG3" s="53"/>
      <c r="AH3" s="53"/>
      <c r="AJ3" s="17">
        <f>+IF(AND(AFIRMACIONES!$C$6&gt;=AL3,AFIRMACIONES!$C$6&lt;=AM3),1,0)</f>
        <v>0</v>
      </c>
      <c r="AK3" s="17">
        <v>2</v>
      </c>
      <c r="AL3" s="47">
        <v>7</v>
      </c>
      <c r="AM3" s="47">
        <v>13</v>
      </c>
      <c r="AN3" s="48" t="s">
        <v>357</v>
      </c>
      <c r="AO3" s="49" t="s">
        <v>364</v>
      </c>
      <c r="AP3" s="477" t="s">
        <v>365</v>
      </c>
      <c r="AQ3" s="388"/>
      <c r="AR3" s="477" t="s">
        <v>366</v>
      </c>
      <c r="AS3" s="388"/>
      <c r="AT3" s="477" t="s">
        <v>367</v>
      </c>
      <c r="AU3" s="388"/>
      <c r="AV3" s="477" t="s">
        <v>368</v>
      </c>
      <c r="AW3" s="388"/>
      <c r="AX3" s="477" t="s">
        <v>369</v>
      </c>
      <c r="AY3" s="388"/>
    </row>
    <row r="4" spans="1:51" ht="12.75" hidden="1" customHeight="1" x14ac:dyDescent="0.25">
      <c r="B4" s="50">
        <v>2</v>
      </c>
      <c r="C4" s="51">
        <v>6</v>
      </c>
      <c r="D4" s="53"/>
      <c r="E4" s="52"/>
      <c r="F4" s="53"/>
      <c r="G4" s="53"/>
      <c r="H4" s="53"/>
      <c r="I4" s="54">
        <f>+AFIRMACIONES!B31</f>
        <v>0</v>
      </c>
      <c r="J4" s="53"/>
      <c r="K4" s="53"/>
      <c r="L4" s="53"/>
      <c r="M4" s="50">
        <v>101</v>
      </c>
      <c r="N4" s="51">
        <v>7</v>
      </c>
      <c r="O4" s="52"/>
      <c r="P4" s="53"/>
      <c r="Q4" s="53"/>
      <c r="R4" s="53"/>
      <c r="S4" s="53"/>
      <c r="T4" s="53"/>
      <c r="U4" s="54">
        <f>+AFIRMACIONES!B130</f>
        <v>0</v>
      </c>
      <c r="V4" s="53"/>
      <c r="W4" s="52"/>
      <c r="X4" s="50">
        <v>200</v>
      </c>
      <c r="Y4" s="51">
        <v>3</v>
      </c>
      <c r="Z4" s="53"/>
      <c r="AA4" s="52"/>
      <c r="AB4" s="54">
        <f>+AFIRMACIONES!B229</f>
        <v>0</v>
      </c>
      <c r="AC4" s="53"/>
      <c r="AD4" s="53"/>
      <c r="AE4" s="53"/>
      <c r="AF4" s="55"/>
      <c r="AG4" s="53"/>
      <c r="AH4" s="53"/>
      <c r="AJ4" s="17">
        <f>+IF(AND(AFIRMACIONES!$C$6&gt;=AL4,AFIRMACIONES!$C$6&lt;=AM4),1,0)</f>
        <v>0</v>
      </c>
      <c r="AK4" s="17">
        <v>3</v>
      </c>
      <c r="AL4" s="47">
        <v>14</v>
      </c>
      <c r="AM4" s="47">
        <v>20</v>
      </c>
      <c r="AN4" s="48" t="s">
        <v>357</v>
      </c>
      <c r="AO4" s="49" t="s">
        <v>370</v>
      </c>
      <c r="AP4" s="477" t="s">
        <v>371</v>
      </c>
      <c r="AQ4" s="388"/>
      <c r="AR4" s="477" t="s">
        <v>372</v>
      </c>
      <c r="AS4" s="388"/>
      <c r="AT4" s="477" t="s">
        <v>373</v>
      </c>
      <c r="AU4" s="388"/>
      <c r="AV4" s="477" t="s">
        <v>374</v>
      </c>
      <c r="AW4" s="388"/>
      <c r="AX4" s="477" t="s">
        <v>375</v>
      </c>
      <c r="AY4" s="388"/>
    </row>
    <row r="5" spans="1:51" ht="12.75" hidden="1" customHeight="1" x14ac:dyDescent="0.25">
      <c r="B5" s="50">
        <v>3</v>
      </c>
      <c r="C5" s="51">
        <v>9</v>
      </c>
      <c r="D5" s="52"/>
      <c r="E5" s="53"/>
      <c r="F5" s="52"/>
      <c r="G5" s="53"/>
      <c r="H5" s="53"/>
      <c r="I5" s="53"/>
      <c r="J5" s="53"/>
      <c r="K5" s="53"/>
      <c r="L5" s="54">
        <f>+AFIRMACIONES!B32</f>
        <v>0</v>
      </c>
      <c r="M5" s="50">
        <v>102</v>
      </c>
      <c r="N5" s="51">
        <v>6</v>
      </c>
      <c r="O5" s="53"/>
      <c r="P5" s="53"/>
      <c r="Q5" s="53"/>
      <c r="R5" s="53"/>
      <c r="S5" s="52"/>
      <c r="T5" s="54">
        <f>+AFIRMACIONES!B131</f>
        <v>0</v>
      </c>
      <c r="U5" s="53"/>
      <c r="V5" s="52"/>
      <c r="W5" s="52"/>
      <c r="X5" s="50">
        <v>201</v>
      </c>
      <c r="Y5" s="51">
        <v>4</v>
      </c>
      <c r="Z5" s="53"/>
      <c r="AA5" s="52"/>
      <c r="AB5" s="55"/>
      <c r="AC5" s="54">
        <f>+AFIRMACIONES!B230</f>
        <v>0</v>
      </c>
      <c r="AD5" s="53"/>
      <c r="AE5" s="53"/>
      <c r="AF5" s="55"/>
      <c r="AG5" s="53"/>
      <c r="AH5" s="53"/>
      <c r="AJ5" s="17">
        <f>+IF(AND(AFIRMACIONES!$C$6&gt;=AL5,AFIRMACIONES!$C$6&lt;=AM5),1,0)</f>
        <v>0</v>
      </c>
      <c r="AK5" s="17">
        <v>4</v>
      </c>
      <c r="AL5" s="47">
        <v>21</v>
      </c>
      <c r="AM5" s="47">
        <v>27</v>
      </c>
      <c r="AN5" s="48" t="s">
        <v>357</v>
      </c>
      <c r="AO5" s="49" t="s">
        <v>376</v>
      </c>
      <c r="AP5" s="477" t="s">
        <v>377</v>
      </c>
      <c r="AQ5" s="388"/>
      <c r="AR5" s="477" t="s">
        <v>378</v>
      </c>
      <c r="AS5" s="388"/>
      <c r="AT5" s="477" t="s">
        <v>379</v>
      </c>
      <c r="AU5" s="388"/>
      <c r="AV5" s="477" t="s">
        <v>380</v>
      </c>
      <c r="AW5" s="388"/>
      <c r="AX5" s="477" t="s">
        <v>381</v>
      </c>
      <c r="AY5" s="388"/>
    </row>
    <row r="6" spans="1:51" ht="12.75" hidden="1" customHeight="1" x14ac:dyDescent="0.25">
      <c r="B6" s="50">
        <v>4</v>
      </c>
      <c r="C6" s="51">
        <v>3</v>
      </c>
      <c r="D6" s="53"/>
      <c r="E6" s="53"/>
      <c r="F6" s="54">
        <f>+AFIRMACIONES!B33</f>
        <v>0</v>
      </c>
      <c r="G6" s="52"/>
      <c r="H6" s="52"/>
      <c r="I6" s="53"/>
      <c r="J6" s="53"/>
      <c r="K6" s="53"/>
      <c r="L6" s="53"/>
      <c r="M6" s="50">
        <v>103</v>
      </c>
      <c r="N6" s="51">
        <v>3</v>
      </c>
      <c r="O6" s="53"/>
      <c r="P6" s="53"/>
      <c r="Q6" s="54">
        <f>+AFIRMACIONES!B132</f>
        <v>0</v>
      </c>
      <c r="R6" s="53"/>
      <c r="S6" s="53"/>
      <c r="T6" s="53"/>
      <c r="U6" s="53"/>
      <c r="V6" s="53"/>
      <c r="W6" s="52"/>
      <c r="X6" s="50">
        <v>202</v>
      </c>
      <c r="Y6" s="51">
        <v>9</v>
      </c>
      <c r="Z6" s="53"/>
      <c r="AA6" s="52"/>
      <c r="AB6" s="55"/>
      <c r="AC6" s="53"/>
      <c r="AD6" s="53"/>
      <c r="AE6" s="53"/>
      <c r="AF6" s="55"/>
      <c r="AG6" s="53"/>
      <c r="AH6" s="54">
        <f>+AFIRMACIONES!B231</f>
        <v>0</v>
      </c>
      <c r="AJ6" s="17">
        <f>+IF(AND(AFIRMACIONES!$C$6&gt;=AL6,AFIRMACIONES!$C$6&lt;=AM6),1,0)</f>
        <v>0</v>
      </c>
      <c r="AK6" s="17">
        <v>5</v>
      </c>
      <c r="AL6" s="47">
        <v>28</v>
      </c>
      <c r="AM6" s="47">
        <v>41</v>
      </c>
      <c r="AN6" s="48" t="s">
        <v>357</v>
      </c>
      <c r="AO6" s="49" t="s">
        <v>382</v>
      </c>
      <c r="AP6" s="477" t="s">
        <v>383</v>
      </c>
      <c r="AQ6" s="388"/>
      <c r="AR6" s="477" t="s">
        <v>384</v>
      </c>
      <c r="AS6" s="388"/>
      <c r="AT6" s="477" t="s">
        <v>385</v>
      </c>
      <c r="AU6" s="388"/>
      <c r="AV6" s="477" t="s">
        <v>386</v>
      </c>
      <c r="AW6" s="388"/>
      <c r="AX6" s="477" t="s">
        <v>387</v>
      </c>
      <c r="AY6" s="388"/>
    </row>
    <row r="7" spans="1:51" ht="12.75" hidden="1" customHeight="1" x14ac:dyDescent="0.25">
      <c r="B7" s="50">
        <v>5</v>
      </c>
      <c r="C7" s="51">
        <v>2</v>
      </c>
      <c r="D7" s="52"/>
      <c r="E7" s="54">
        <f>+AFIRMACIONES!B34</f>
        <v>0</v>
      </c>
      <c r="F7" s="53"/>
      <c r="G7" s="53"/>
      <c r="H7" s="53"/>
      <c r="I7" s="53"/>
      <c r="J7" s="53"/>
      <c r="K7" s="53"/>
      <c r="L7" s="53"/>
      <c r="M7" s="50">
        <v>104</v>
      </c>
      <c r="N7" s="51">
        <v>4</v>
      </c>
      <c r="O7" s="53"/>
      <c r="P7" s="53"/>
      <c r="Q7" s="53"/>
      <c r="R7" s="54">
        <f>+AFIRMACIONES!B133</f>
        <v>0</v>
      </c>
      <c r="S7" s="53"/>
      <c r="T7" s="53"/>
      <c r="U7" s="53"/>
      <c r="V7" s="52"/>
      <c r="W7" s="52"/>
      <c r="X7" s="50">
        <v>203</v>
      </c>
      <c r="Y7" s="51">
        <v>2</v>
      </c>
      <c r="Z7" s="52"/>
      <c r="AA7" s="54">
        <f>+AFIRMACIONES!B232</f>
        <v>0</v>
      </c>
      <c r="AB7" s="55"/>
      <c r="AC7" s="53"/>
      <c r="AD7" s="53"/>
      <c r="AE7" s="53"/>
      <c r="AF7" s="55"/>
      <c r="AG7" s="53"/>
      <c r="AH7" s="53"/>
      <c r="AJ7" s="17">
        <f>+IF(AND(AFIRMACIONES!$C$6&gt;=AL7,AFIRMACIONES!$C$6&lt;=AM7),1,0)</f>
        <v>0</v>
      </c>
      <c r="AK7" s="17">
        <v>6</v>
      </c>
      <c r="AL7" s="47">
        <v>42</v>
      </c>
      <c r="AM7" s="47">
        <v>48</v>
      </c>
      <c r="AN7" s="48" t="s">
        <v>388</v>
      </c>
      <c r="AO7" s="49" t="s">
        <v>389</v>
      </c>
      <c r="AP7" s="477" t="s">
        <v>390</v>
      </c>
      <c r="AQ7" s="388"/>
      <c r="AR7" s="477" t="s">
        <v>391</v>
      </c>
      <c r="AS7" s="388"/>
      <c r="AT7" s="477" t="s">
        <v>392</v>
      </c>
      <c r="AU7" s="388"/>
      <c r="AV7" s="477" t="s">
        <v>393</v>
      </c>
      <c r="AW7" s="388"/>
      <c r="AX7" s="477" t="s">
        <v>394</v>
      </c>
      <c r="AY7" s="388"/>
    </row>
    <row r="8" spans="1:51" ht="12.75" hidden="1" customHeight="1" x14ac:dyDescent="0.25">
      <c r="B8" s="50">
        <v>6</v>
      </c>
      <c r="C8" s="51">
        <v>5</v>
      </c>
      <c r="D8" s="53"/>
      <c r="E8" s="53"/>
      <c r="F8" s="53"/>
      <c r="G8" s="53"/>
      <c r="H8" s="54">
        <f>+AFIRMACIONES!B35</f>
        <v>0</v>
      </c>
      <c r="I8" s="53"/>
      <c r="J8" s="53"/>
      <c r="K8" s="53"/>
      <c r="L8" s="53"/>
      <c r="M8" s="50">
        <v>105</v>
      </c>
      <c r="N8" s="51">
        <v>2</v>
      </c>
      <c r="O8" s="53"/>
      <c r="P8" s="54">
        <f>+AFIRMACIONES!B134</f>
        <v>0</v>
      </c>
      <c r="Q8" s="53"/>
      <c r="R8" s="53"/>
      <c r="S8" s="53"/>
      <c r="T8" s="53"/>
      <c r="U8" s="53"/>
      <c r="V8" s="52"/>
      <c r="W8" s="52"/>
      <c r="X8" s="50">
        <v>204</v>
      </c>
      <c r="Y8" s="51">
        <v>1</v>
      </c>
      <c r="Z8" s="54">
        <f>+AFIRMACIONES!B233</f>
        <v>0</v>
      </c>
      <c r="AA8" s="53"/>
      <c r="AB8" s="55"/>
      <c r="AC8" s="53"/>
      <c r="AD8" s="52"/>
      <c r="AE8" s="53"/>
      <c r="AF8" s="55"/>
      <c r="AG8" s="53"/>
      <c r="AH8" s="53"/>
      <c r="AJ8" s="17">
        <f>+IF(AND(AFIRMACIONES!$C$6&gt;=AL8,AFIRMACIONES!$C$6&lt;=AM8),1,0)</f>
        <v>0</v>
      </c>
      <c r="AK8" s="17">
        <v>7</v>
      </c>
      <c r="AL8" s="47">
        <v>49</v>
      </c>
      <c r="AM8" s="47">
        <v>55</v>
      </c>
      <c r="AN8" s="48" t="s">
        <v>388</v>
      </c>
      <c r="AO8" s="49" t="s">
        <v>395</v>
      </c>
      <c r="AP8" s="477" t="s">
        <v>396</v>
      </c>
      <c r="AQ8" s="388"/>
      <c r="AR8" s="477" t="s">
        <v>397</v>
      </c>
      <c r="AS8" s="388"/>
      <c r="AT8" s="477" t="s">
        <v>398</v>
      </c>
      <c r="AU8" s="388"/>
      <c r="AV8" s="477" t="s">
        <v>399</v>
      </c>
      <c r="AW8" s="388"/>
      <c r="AX8" s="477" t="s">
        <v>400</v>
      </c>
      <c r="AY8" s="388"/>
    </row>
    <row r="9" spans="1:51" ht="12.75" hidden="1" customHeight="1" x14ac:dyDescent="0.25">
      <c r="B9" s="50">
        <v>7</v>
      </c>
      <c r="C9" s="51">
        <v>7</v>
      </c>
      <c r="D9" s="53"/>
      <c r="E9" s="53"/>
      <c r="F9" s="53"/>
      <c r="G9" s="53"/>
      <c r="H9" s="53"/>
      <c r="I9" s="53"/>
      <c r="J9" s="54">
        <f>+AFIRMACIONES!B36</f>
        <v>0</v>
      </c>
      <c r="K9" s="52"/>
      <c r="L9" s="53"/>
      <c r="M9" s="50">
        <v>106</v>
      </c>
      <c r="N9" s="51">
        <v>1</v>
      </c>
      <c r="O9" s="54">
        <f>+AFIRMACIONES!B135</f>
        <v>0</v>
      </c>
      <c r="P9" s="53"/>
      <c r="Q9" s="53"/>
      <c r="R9" s="52"/>
      <c r="S9" s="53"/>
      <c r="T9" s="53"/>
      <c r="U9" s="53"/>
      <c r="V9" s="53"/>
      <c r="W9" s="52"/>
      <c r="X9" s="50">
        <v>205</v>
      </c>
      <c r="Y9" s="51">
        <v>8</v>
      </c>
      <c r="Z9" s="53"/>
      <c r="AA9" s="53"/>
      <c r="AB9" s="55"/>
      <c r="AC9" s="53"/>
      <c r="AD9" s="53"/>
      <c r="AE9" s="53"/>
      <c r="AF9" s="55"/>
      <c r="AG9" s="54">
        <f>+AFIRMACIONES!B234</f>
        <v>0</v>
      </c>
      <c r="AH9" s="53"/>
      <c r="AJ9" s="17">
        <f>+IF(AND(AFIRMACIONES!$C$6&gt;=AL9,AFIRMACIONES!$C$6&lt;=AM9),1,0)</f>
        <v>0</v>
      </c>
      <c r="AK9" s="17">
        <v>8</v>
      </c>
      <c r="AL9" s="47">
        <v>56</v>
      </c>
      <c r="AM9" s="47">
        <v>62</v>
      </c>
      <c r="AN9" s="48" t="s">
        <v>388</v>
      </c>
      <c r="AO9" s="49" t="s">
        <v>401</v>
      </c>
      <c r="AP9" s="477" t="s">
        <v>402</v>
      </c>
      <c r="AQ9" s="388"/>
      <c r="AR9" s="477" t="s">
        <v>403</v>
      </c>
      <c r="AS9" s="388"/>
      <c r="AT9" s="477" t="s">
        <v>404</v>
      </c>
      <c r="AU9" s="388"/>
      <c r="AV9" s="477" t="s">
        <v>405</v>
      </c>
      <c r="AW9" s="388"/>
      <c r="AX9" s="477" t="s">
        <v>406</v>
      </c>
      <c r="AY9" s="388"/>
    </row>
    <row r="10" spans="1:51" ht="12.75" hidden="1" customHeight="1" x14ac:dyDescent="0.25">
      <c r="B10" s="50">
        <v>8</v>
      </c>
      <c r="C10" s="51">
        <v>4</v>
      </c>
      <c r="D10" s="53"/>
      <c r="E10" s="52"/>
      <c r="F10" s="53"/>
      <c r="G10" s="54">
        <f>+AFIRMACIONES!B37</f>
        <v>0</v>
      </c>
      <c r="H10" s="53"/>
      <c r="I10" s="53"/>
      <c r="J10" s="53"/>
      <c r="K10" s="53"/>
      <c r="L10" s="53"/>
      <c r="M10" s="50">
        <v>107</v>
      </c>
      <c r="N10" s="51">
        <v>8</v>
      </c>
      <c r="O10" s="52"/>
      <c r="P10" s="53"/>
      <c r="Q10" s="53"/>
      <c r="R10" s="53"/>
      <c r="S10" s="53"/>
      <c r="T10" s="53"/>
      <c r="U10" s="53"/>
      <c r="V10" s="54">
        <f>+AFIRMACIONES!B136</f>
        <v>0</v>
      </c>
      <c r="W10" s="52"/>
      <c r="X10" s="50">
        <v>206</v>
      </c>
      <c r="Y10" s="51">
        <v>6</v>
      </c>
      <c r="Z10" s="53"/>
      <c r="AA10" s="52"/>
      <c r="AB10" s="55"/>
      <c r="AC10" s="53"/>
      <c r="AD10" s="53"/>
      <c r="AE10" s="54">
        <f>+AFIRMACIONES!B235</f>
        <v>0</v>
      </c>
      <c r="AF10" s="55"/>
      <c r="AG10" s="53"/>
      <c r="AH10" s="53"/>
      <c r="AJ10" s="17">
        <f>+IF(AND(AFIRMACIONES!$C$6&gt;=AL10,AFIRMACIONES!$C$6&lt;=AM10),1,0)</f>
        <v>0</v>
      </c>
      <c r="AK10" s="17">
        <v>9</v>
      </c>
      <c r="AL10" s="47">
        <v>63</v>
      </c>
      <c r="AM10" s="47">
        <v>69</v>
      </c>
      <c r="AN10" s="48" t="s">
        <v>388</v>
      </c>
      <c r="AO10" s="49" t="s">
        <v>407</v>
      </c>
      <c r="AP10" s="477" t="s">
        <v>408</v>
      </c>
      <c r="AQ10" s="388"/>
      <c r="AR10" s="477" t="s">
        <v>409</v>
      </c>
      <c r="AS10" s="388"/>
      <c r="AT10" s="477" t="s">
        <v>410</v>
      </c>
      <c r="AU10" s="388"/>
      <c r="AV10" s="477" t="s">
        <v>411</v>
      </c>
      <c r="AW10" s="388"/>
      <c r="AX10" s="477" t="s">
        <v>412</v>
      </c>
      <c r="AY10" s="388"/>
    </row>
    <row r="11" spans="1:51" ht="12.75" hidden="1" customHeight="1" x14ac:dyDescent="0.25">
      <c r="B11" s="50">
        <v>9</v>
      </c>
      <c r="C11" s="51">
        <v>1</v>
      </c>
      <c r="D11" s="54">
        <f>+AFIRMACIONES!B38</f>
        <v>0</v>
      </c>
      <c r="E11" s="53"/>
      <c r="F11" s="53"/>
      <c r="G11" s="53"/>
      <c r="H11" s="53"/>
      <c r="I11" s="53"/>
      <c r="J11" s="53"/>
      <c r="K11" s="53"/>
      <c r="L11" s="53"/>
      <c r="M11" s="50">
        <v>108</v>
      </c>
      <c r="N11" s="51">
        <v>9</v>
      </c>
      <c r="O11" s="52"/>
      <c r="P11" s="53"/>
      <c r="Q11" s="53"/>
      <c r="R11" s="53"/>
      <c r="S11" s="53"/>
      <c r="T11" s="53"/>
      <c r="U11" s="53"/>
      <c r="V11" s="53"/>
      <c r="W11" s="54">
        <f>+AFIRMACIONES!B137</f>
        <v>0</v>
      </c>
      <c r="X11" s="50">
        <v>207</v>
      </c>
      <c r="Y11" s="51">
        <v>5</v>
      </c>
      <c r="Z11" s="52"/>
      <c r="AA11" s="53"/>
      <c r="AB11" s="55"/>
      <c r="AC11" s="53"/>
      <c r="AD11" s="54">
        <f>+AFIRMACIONES!B236</f>
        <v>0</v>
      </c>
      <c r="AE11" s="53"/>
      <c r="AF11" s="55"/>
      <c r="AG11" s="53"/>
      <c r="AH11" s="53"/>
      <c r="AJ11" s="17">
        <f>+IF(AND(AFIRMACIONES!$C$6&gt;=AL11,AFIRMACIONES!$C$6&lt;=AM11),1,0)</f>
        <v>0</v>
      </c>
      <c r="AK11" s="17">
        <v>10</v>
      </c>
      <c r="AL11" s="47">
        <v>70</v>
      </c>
      <c r="AM11" s="47">
        <v>90</v>
      </c>
      <c r="AN11" s="48" t="s">
        <v>388</v>
      </c>
      <c r="AO11" s="49" t="s">
        <v>413</v>
      </c>
      <c r="AP11" s="477" t="s">
        <v>414</v>
      </c>
      <c r="AQ11" s="388"/>
      <c r="AR11" s="477" t="s">
        <v>415</v>
      </c>
      <c r="AS11" s="388"/>
      <c r="AT11" s="477" t="s">
        <v>416</v>
      </c>
      <c r="AU11" s="388"/>
      <c r="AV11" s="477" t="s">
        <v>417</v>
      </c>
      <c r="AW11" s="388"/>
      <c r="AX11" s="477" t="s">
        <v>418</v>
      </c>
      <c r="AY11" s="388"/>
    </row>
    <row r="12" spans="1:51" ht="12.75" hidden="1" customHeight="1" x14ac:dyDescent="0.25">
      <c r="B12" s="50">
        <v>10</v>
      </c>
      <c r="C12" s="51">
        <v>9</v>
      </c>
      <c r="D12" s="53"/>
      <c r="E12" s="53"/>
      <c r="F12" s="53"/>
      <c r="G12" s="53"/>
      <c r="H12" s="53"/>
      <c r="I12" s="53"/>
      <c r="J12" s="52"/>
      <c r="K12" s="53"/>
      <c r="L12" s="54">
        <f>+AFIRMACIONES!B39</f>
        <v>0</v>
      </c>
      <c r="M12" s="50">
        <v>109</v>
      </c>
      <c r="N12" s="51">
        <v>2</v>
      </c>
      <c r="O12" s="53"/>
      <c r="P12" s="54">
        <f>+AFIRMACIONES!B138</f>
        <v>0</v>
      </c>
      <c r="Q12" s="53"/>
      <c r="R12" s="53"/>
      <c r="S12" s="53"/>
      <c r="T12" s="52"/>
      <c r="U12" s="53"/>
      <c r="V12" s="53"/>
      <c r="W12" s="52"/>
      <c r="X12" s="50">
        <v>208</v>
      </c>
      <c r="Y12" s="51">
        <v>5</v>
      </c>
      <c r="Z12" s="53"/>
      <c r="AA12" s="53"/>
      <c r="AB12" s="55"/>
      <c r="AC12" s="53"/>
      <c r="AD12" s="54">
        <f>+AFIRMACIONES!B237</f>
        <v>0</v>
      </c>
      <c r="AE12" s="53"/>
      <c r="AF12" s="55"/>
      <c r="AG12" s="53"/>
      <c r="AH12" s="53"/>
    </row>
    <row r="13" spans="1:51" ht="12.75" hidden="1" customHeight="1" x14ac:dyDescent="0.25">
      <c r="B13" s="50">
        <v>11</v>
      </c>
      <c r="C13" s="51">
        <v>4</v>
      </c>
      <c r="D13" s="53"/>
      <c r="E13" s="53"/>
      <c r="F13" s="53"/>
      <c r="G13" s="54">
        <f>+AFIRMACIONES!B40</f>
        <v>0</v>
      </c>
      <c r="H13" s="52"/>
      <c r="I13" s="53"/>
      <c r="J13" s="53"/>
      <c r="K13" s="53"/>
      <c r="L13" s="53"/>
      <c r="M13" s="50">
        <v>110</v>
      </c>
      <c r="N13" s="51">
        <v>7</v>
      </c>
      <c r="O13" s="53"/>
      <c r="P13" s="53"/>
      <c r="Q13" s="53"/>
      <c r="R13" s="53"/>
      <c r="S13" s="52"/>
      <c r="T13" s="53"/>
      <c r="U13" s="54">
        <f>+AFIRMACIONES!B139</f>
        <v>0</v>
      </c>
      <c r="V13" s="53"/>
      <c r="W13" s="52"/>
      <c r="X13" s="50">
        <v>209</v>
      </c>
      <c r="Y13" s="51">
        <v>2</v>
      </c>
      <c r="Z13" s="53"/>
      <c r="AA13" s="54">
        <f>+AFIRMACIONES!B238</f>
        <v>0</v>
      </c>
      <c r="AB13" s="55"/>
      <c r="AC13" s="53"/>
      <c r="AD13" s="53"/>
      <c r="AE13" s="53"/>
      <c r="AF13" s="55"/>
      <c r="AG13" s="53"/>
      <c r="AH13" s="53"/>
    </row>
    <row r="14" spans="1:51" ht="12.75" hidden="1" customHeight="1" x14ac:dyDescent="0.25">
      <c r="B14" s="50">
        <v>12</v>
      </c>
      <c r="C14" s="51">
        <v>7</v>
      </c>
      <c r="D14" s="53"/>
      <c r="E14" s="53"/>
      <c r="F14" s="53"/>
      <c r="G14" s="53"/>
      <c r="H14" s="53"/>
      <c r="I14" s="52"/>
      <c r="J14" s="54">
        <f>+AFIRMACIONES!B41</f>
        <v>0</v>
      </c>
      <c r="K14" s="53"/>
      <c r="L14" s="53"/>
      <c r="M14" s="50">
        <v>111</v>
      </c>
      <c r="N14" s="51">
        <v>8</v>
      </c>
      <c r="O14" s="52"/>
      <c r="P14" s="53"/>
      <c r="Q14" s="53"/>
      <c r="R14" s="53"/>
      <c r="S14" s="53"/>
      <c r="T14" s="53"/>
      <c r="U14" s="53"/>
      <c r="V14" s="54">
        <f>+AFIRMACIONES!B140</f>
        <v>0</v>
      </c>
      <c r="W14" s="52"/>
      <c r="X14" s="50">
        <v>210</v>
      </c>
      <c r="Y14" s="51">
        <v>3</v>
      </c>
      <c r="Z14" s="53"/>
      <c r="AA14" s="52"/>
      <c r="AB14" s="54">
        <f>+AFIRMACIONES!B239</f>
        <v>0</v>
      </c>
      <c r="AC14" s="53"/>
      <c r="AD14" s="53"/>
      <c r="AE14" s="52"/>
      <c r="AF14" s="55"/>
      <c r="AG14" s="53"/>
      <c r="AH14" s="53"/>
    </row>
    <row r="15" spans="1:51" ht="12.75" hidden="1" customHeight="1" x14ac:dyDescent="0.25">
      <c r="B15" s="50">
        <v>13</v>
      </c>
      <c r="C15" s="51">
        <v>8</v>
      </c>
      <c r="D15" s="53"/>
      <c r="E15" s="53"/>
      <c r="F15" s="53"/>
      <c r="G15" s="53"/>
      <c r="H15" s="53"/>
      <c r="I15" s="53"/>
      <c r="J15" s="53"/>
      <c r="K15" s="54">
        <f>+AFIRMACIONES!B42</f>
        <v>0</v>
      </c>
      <c r="L15" s="52"/>
      <c r="M15" s="50">
        <v>112</v>
      </c>
      <c r="N15" s="51">
        <v>5</v>
      </c>
      <c r="O15" s="53"/>
      <c r="P15" s="53"/>
      <c r="Q15" s="53"/>
      <c r="R15" s="53"/>
      <c r="S15" s="54">
        <f>+AFIRMACIONES!B141</f>
        <v>0</v>
      </c>
      <c r="T15" s="53"/>
      <c r="U15" s="53"/>
      <c r="V15" s="53"/>
      <c r="W15" s="52"/>
      <c r="X15" s="50">
        <v>211</v>
      </c>
      <c r="Y15" s="51">
        <v>1</v>
      </c>
      <c r="Z15" s="54">
        <f>+AFIRMACIONES!B240</f>
        <v>0</v>
      </c>
      <c r="AA15" s="53"/>
      <c r="AB15" s="55"/>
      <c r="AC15" s="53"/>
      <c r="AD15" s="53"/>
      <c r="AE15" s="52"/>
      <c r="AF15" s="55"/>
      <c r="AG15" s="53"/>
      <c r="AH15" s="53"/>
    </row>
    <row r="16" spans="1:51" ht="12.75" hidden="1" customHeight="1" x14ac:dyDescent="0.25">
      <c r="B16" s="50">
        <v>14</v>
      </c>
      <c r="C16" s="51">
        <v>3</v>
      </c>
      <c r="D16" s="53"/>
      <c r="E16" s="53"/>
      <c r="F16" s="54">
        <f>+AFIRMACIONES!B43</f>
        <v>0</v>
      </c>
      <c r="G16" s="53"/>
      <c r="H16" s="53"/>
      <c r="I16" s="52"/>
      <c r="J16" s="53"/>
      <c r="K16" s="53"/>
      <c r="L16" s="53"/>
      <c r="M16" s="50">
        <v>113</v>
      </c>
      <c r="N16" s="51">
        <v>3</v>
      </c>
      <c r="O16" s="53"/>
      <c r="P16" s="53"/>
      <c r="Q16" s="54">
        <f>+AFIRMACIONES!B142</f>
        <v>0</v>
      </c>
      <c r="R16" s="53"/>
      <c r="S16" s="52"/>
      <c r="T16" s="53"/>
      <c r="U16" s="53"/>
      <c r="V16" s="53"/>
      <c r="W16" s="52"/>
      <c r="X16" s="50">
        <v>212</v>
      </c>
      <c r="Y16" s="51">
        <v>6</v>
      </c>
      <c r="Z16" s="53"/>
      <c r="AA16" s="53"/>
      <c r="AB16" s="55"/>
      <c r="AC16" s="53"/>
      <c r="AD16" s="52"/>
      <c r="AE16" s="54">
        <f>+AFIRMACIONES!B241</f>
        <v>0</v>
      </c>
      <c r="AF16" s="55"/>
      <c r="AG16" s="53"/>
      <c r="AH16" s="53"/>
    </row>
    <row r="17" spans="2:34" ht="12.75" hidden="1" customHeight="1" x14ac:dyDescent="0.25">
      <c r="B17" s="50">
        <v>15</v>
      </c>
      <c r="C17" s="51">
        <v>1</v>
      </c>
      <c r="D17" s="54">
        <f>+AFIRMACIONES!B44</f>
        <v>0</v>
      </c>
      <c r="E17" s="53"/>
      <c r="F17" s="53"/>
      <c r="G17" s="53"/>
      <c r="H17" s="53"/>
      <c r="I17" s="53"/>
      <c r="J17" s="53"/>
      <c r="K17" s="53"/>
      <c r="L17" s="53"/>
      <c r="M17" s="50">
        <v>114</v>
      </c>
      <c r="N17" s="51">
        <v>4</v>
      </c>
      <c r="O17" s="53"/>
      <c r="P17" s="53"/>
      <c r="Q17" s="53"/>
      <c r="R17" s="54">
        <f>+AFIRMACIONES!B143</f>
        <v>0</v>
      </c>
      <c r="S17" s="53"/>
      <c r="T17" s="53"/>
      <c r="U17" s="52"/>
      <c r="V17" s="53"/>
      <c r="W17" s="52"/>
      <c r="X17" s="50">
        <v>213</v>
      </c>
      <c r="Y17" s="51">
        <v>9</v>
      </c>
      <c r="Z17" s="52"/>
      <c r="AA17" s="53"/>
      <c r="AB17" s="55"/>
      <c r="AC17" s="53"/>
      <c r="AD17" s="53"/>
      <c r="AE17" s="53"/>
      <c r="AF17" s="55"/>
      <c r="AG17" s="53"/>
      <c r="AH17" s="54">
        <f>+AFIRMACIONES!B242</f>
        <v>0</v>
      </c>
    </row>
    <row r="18" spans="2:34" ht="12.75" hidden="1" customHeight="1" x14ac:dyDescent="0.25">
      <c r="B18" s="50">
        <v>16</v>
      </c>
      <c r="C18" s="51">
        <v>6</v>
      </c>
      <c r="D18" s="53"/>
      <c r="E18" s="53"/>
      <c r="F18" s="53"/>
      <c r="G18" s="53"/>
      <c r="H18" s="53"/>
      <c r="I18" s="54">
        <f>+AFIRMACIONES!B45</f>
        <v>0</v>
      </c>
      <c r="J18" s="53"/>
      <c r="K18" s="53"/>
      <c r="L18" s="52"/>
      <c r="M18" s="50">
        <v>115</v>
      </c>
      <c r="N18" s="51">
        <v>6</v>
      </c>
      <c r="O18" s="53"/>
      <c r="P18" s="53"/>
      <c r="Q18" s="53"/>
      <c r="R18" s="53"/>
      <c r="S18" s="53"/>
      <c r="T18" s="54">
        <f>+AFIRMACIONES!B144</f>
        <v>0</v>
      </c>
      <c r="U18" s="52"/>
      <c r="V18" s="53"/>
      <c r="W18" s="52"/>
      <c r="X18" s="50">
        <v>214</v>
      </c>
      <c r="Y18" s="51">
        <v>4</v>
      </c>
      <c r="Z18" s="53"/>
      <c r="AA18" s="53"/>
      <c r="AB18" s="56"/>
      <c r="AC18" s="54">
        <f>+AFIRMACIONES!B243</f>
        <v>0</v>
      </c>
      <c r="AD18" s="53"/>
      <c r="AE18" s="53"/>
      <c r="AF18" s="55"/>
      <c r="AG18" s="53"/>
      <c r="AH18" s="53"/>
    </row>
    <row r="19" spans="2:34" ht="12.75" hidden="1" customHeight="1" x14ac:dyDescent="0.25">
      <c r="B19" s="50">
        <v>17</v>
      </c>
      <c r="C19" s="51">
        <v>2</v>
      </c>
      <c r="D19" s="52"/>
      <c r="E19" s="54">
        <f>+AFIRMACIONES!B46</f>
        <v>0</v>
      </c>
      <c r="F19" s="53"/>
      <c r="G19" s="53"/>
      <c r="H19" s="53"/>
      <c r="I19" s="53"/>
      <c r="J19" s="53"/>
      <c r="K19" s="52"/>
      <c r="L19" s="53"/>
      <c r="M19" s="50">
        <v>116</v>
      </c>
      <c r="N19" s="51">
        <v>1</v>
      </c>
      <c r="O19" s="54">
        <f>+AFIRMACIONES!B145</f>
        <v>0</v>
      </c>
      <c r="P19" s="53"/>
      <c r="Q19" s="53"/>
      <c r="R19" s="53"/>
      <c r="S19" s="53"/>
      <c r="T19" s="53"/>
      <c r="U19" s="52"/>
      <c r="V19" s="53"/>
      <c r="W19" s="52"/>
      <c r="X19" s="50">
        <v>215</v>
      </c>
      <c r="Y19" s="51">
        <v>8</v>
      </c>
      <c r="Z19" s="53"/>
      <c r="AA19" s="53"/>
      <c r="AB19" s="56"/>
      <c r="AC19" s="53"/>
      <c r="AD19" s="53"/>
      <c r="AE19" s="53"/>
      <c r="AF19" s="55"/>
      <c r="AG19" s="54">
        <f>+AFIRMACIONES!B244</f>
        <v>0</v>
      </c>
      <c r="AH19" s="53"/>
    </row>
    <row r="20" spans="2:34" ht="12.75" hidden="1" customHeight="1" x14ac:dyDescent="0.25">
      <c r="B20" s="50">
        <v>18</v>
      </c>
      <c r="C20" s="51">
        <v>5</v>
      </c>
      <c r="D20" s="53"/>
      <c r="E20" s="53"/>
      <c r="F20" s="53"/>
      <c r="G20" s="53"/>
      <c r="H20" s="54">
        <f>+AFIRMACIONES!B47</f>
        <v>0</v>
      </c>
      <c r="I20" s="52"/>
      <c r="J20" s="53"/>
      <c r="K20" s="53"/>
      <c r="L20" s="53"/>
      <c r="M20" s="50">
        <v>117</v>
      </c>
      <c r="N20" s="51">
        <v>9</v>
      </c>
      <c r="O20" s="53"/>
      <c r="P20" s="53"/>
      <c r="Q20" s="53"/>
      <c r="R20" s="53"/>
      <c r="S20" s="53"/>
      <c r="T20" s="53"/>
      <c r="U20" s="52"/>
      <c r="V20" s="53"/>
      <c r="W20" s="54">
        <f>+AFIRMACIONES!B146</f>
        <v>0</v>
      </c>
      <c r="X20" s="50">
        <v>216</v>
      </c>
      <c r="Y20" s="51">
        <v>7</v>
      </c>
      <c r="Z20" s="52"/>
      <c r="AA20" s="53"/>
      <c r="AB20" s="55"/>
      <c r="AC20" s="53"/>
      <c r="AD20" s="53"/>
      <c r="AE20" s="53"/>
      <c r="AF20" s="54">
        <f>+AFIRMACIONES!B245</f>
        <v>0</v>
      </c>
      <c r="AG20" s="53"/>
      <c r="AH20" s="53"/>
    </row>
    <row r="21" spans="2:34" ht="12.75" hidden="1" customHeight="1" x14ac:dyDescent="0.25">
      <c r="B21" s="50">
        <v>19</v>
      </c>
      <c r="C21" s="51">
        <v>8</v>
      </c>
      <c r="D21" s="53"/>
      <c r="E21" s="53"/>
      <c r="F21" s="53"/>
      <c r="G21" s="53"/>
      <c r="H21" s="53"/>
      <c r="I21" s="52"/>
      <c r="J21" s="53"/>
      <c r="K21" s="54">
        <f>+AFIRMACIONES!B48</f>
        <v>0</v>
      </c>
      <c r="L21" s="53"/>
      <c r="M21" s="50">
        <v>118</v>
      </c>
      <c r="N21" s="51">
        <v>3</v>
      </c>
      <c r="O21" s="53"/>
      <c r="P21" s="52"/>
      <c r="Q21" s="54">
        <f>+AFIRMACIONES!B147</f>
        <v>0</v>
      </c>
      <c r="R21" s="53"/>
      <c r="S21" s="53"/>
      <c r="T21" s="53"/>
      <c r="U21" s="53"/>
      <c r="V21" s="53"/>
      <c r="W21" s="52"/>
      <c r="X21" s="50">
        <v>217</v>
      </c>
      <c r="Y21" s="51">
        <v>3</v>
      </c>
      <c r="Z21" s="53"/>
      <c r="AA21" s="52"/>
      <c r="AB21" s="54">
        <f>+AFIRMACIONES!B246</f>
        <v>0</v>
      </c>
      <c r="AC21" s="53"/>
      <c r="AD21" s="53"/>
      <c r="AE21" s="53"/>
      <c r="AF21" s="55"/>
      <c r="AG21" s="53"/>
      <c r="AH21" s="53"/>
    </row>
    <row r="22" spans="2:34" ht="12.75" hidden="1" customHeight="1" x14ac:dyDescent="0.25">
      <c r="B22" s="50">
        <v>20</v>
      </c>
      <c r="C22" s="51">
        <v>5</v>
      </c>
      <c r="D22" s="53"/>
      <c r="E22" s="52"/>
      <c r="F22" s="53"/>
      <c r="G22" s="53"/>
      <c r="H22" s="54">
        <f>+AFIRMACIONES!B49</f>
        <v>0</v>
      </c>
      <c r="I22" s="53"/>
      <c r="J22" s="53"/>
      <c r="K22" s="53"/>
      <c r="L22" s="53"/>
      <c r="M22" s="50">
        <v>119</v>
      </c>
      <c r="N22" s="51">
        <v>7</v>
      </c>
      <c r="O22" s="53"/>
      <c r="P22" s="53"/>
      <c r="Q22" s="53"/>
      <c r="R22" s="53"/>
      <c r="S22" s="53"/>
      <c r="T22" s="52"/>
      <c r="U22" s="54">
        <f>+AFIRMACIONES!B148</f>
        <v>0</v>
      </c>
      <c r="V22" s="53"/>
      <c r="W22" s="52"/>
      <c r="X22" s="50">
        <v>218</v>
      </c>
      <c r="Y22" s="51">
        <v>4</v>
      </c>
      <c r="Z22" s="53"/>
      <c r="AA22" s="53"/>
      <c r="AB22" s="55"/>
      <c r="AC22" s="54">
        <f>+AFIRMACIONES!B247</f>
        <v>0</v>
      </c>
      <c r="AD22" s="53"/>
      <c r="AE22" s="52"/>
      <c r="AF22" s="55"/>
      <c r="AG22" s="53"/>
      <c r="AH22" s="53"/>
    </row>
    <row r="23" spans="2:34" ht="12.75" hidden="1" customHeight="1" x14ac:dyDescent="0.25">
      <c r="B23" s="50">
        <v>21</v>
      </c>
      <c r="C23" s="51">
        <v>2</v>
      </c>
      <c r="D23" s="52"/>
      <c r="E23" s="54">
        <f>+AFIRMACIONES!B50</f>
        <v>0</v>
      </c>
      <c r="F23" s="53"/>
      <c r="G23" s="53"/>
      <c r="H23" s="53"/>
      <c r="I23" s="52"/>
      <c r="J23" s="53"/>
      <c r="K23" s="53"/>
      <c r="L23" s="53"/>
      <c r="M23" s="50">
        <v>120</v>
      </c>
      <c r="N23" s="51">
        <v>1</v>
      </c>
      <c r="O23" s="54">
        <f>+AFIRMACIONES!B149</f>
        <v>0</v>
      </c>
      <c r="P23" s="53"/>
      <c r="Q23" s="53"/>
      <c r="R23" s="53"/>
      <c r="S23" s="53"/>
      <c r="T23" s="53"/>
      <c r="U23" s="52"/>
      <c r="V23" s="53"/>
      <c r="W23" s="52"/>
      <c r="X23" s="50">
        <v>219</v>
      </c>
      <c r="Y23" s="51">
        <v>7</v>
      </c>
      <c r="Z23" s="53"/>
      <c r="AA23" s="53"/>
      <c r="AB23" s="56"/>
      <c r="AC23" s="53"/>
      <c r="AD23" s="53"/>
      <c r="AE23" s="53"/>
      <c r="AF23" s="54">
        <f>+AFIRMACIONES!B248</f>
        <v>0</v>
      </c>
      <c r="AG23" s="53"/>
      <c r="AH23" s="53"/>
    </row>
    <row r="24" spans="2:34" ht="12.75" hidden="1" customHeight="1" x14ac:dyDescent="0.25">
      <c r="B24" s="50">
        <v>22</v>
      </c>
      <c r="C24" s="51">
        <v>4</v>
      </c>
      <c r="D24" s="52"/>
      <c r="E24" s="53"/>
      <c r="F24" s="53"/>
      <c r="G24" s="54">
        <f>+AFIRMACIONES!B51</f>
        <v>0</v>
      </c>
      <c r="H24" s="53"/>
      <c r="I24" s="53"/>
      <c r="J24" s="53"/>
      <c r="K24" s="53"/>
      <c r="L24" s="53"/>
      <c r="M24" s="50">
        <v>121</v>
      </c>
      <c r="N24" s="51">
        <v>5</v>
      </c>
      <c r="O24" s="53"/>
      <c r="P24" s="53"/>
      <c r="Q24" s="53"/>
      <c r="R24" s="52"/>
      <c r="S24" s="54">
        <f>+AFIRMACIONES!B150</f>
        <v>0</v>
      </c>
      <c r="T24" s="53"/>
      <c r="U24" s="53"/>
      <c r="V24" s="53"/>
      <c r="W24" s="52"/>
      <c r="X24" s="50">
        <v>220</v>
      </c>
      <c r="Y24" s="51">
        <v>9</v>
      </c>
      <c r="Z24" s="53"/>
      <c r="AA24" s="53"/>
      <c r="AB24" s="55"/>
      <c r="AC24" s="53"/>
      <c r="AD24" s="53"/>
      <c r="AE24" s="53"/>
      <c r="AF24" s="55"/>
      <c r="AG24" s="53"/>
      <c r="AH24" s="54">
        <f>+AFIRMACIONES!B249</f>
        <v>0</v>
      </c>
    </row>
    <row r="25" spans="2:34" ht="12.75" hidden="1" customHeight="1" x14ac:dyDescent="0.25">
      <c r="B25" s="50">
        <v>23</v>
      </c>
      <c r="C25" s="51">
        <v>7</v>
      </c>
      <c r="D25" s="52"/>
      <c r="E25" s="53"/>
      <c r="F25" s="53"/>
      <c r="G25" s="53"/>
      <c r="H25" s="53"/>
      <c r="I25" s="53"/>
      <c r="J25" s="54">
        <f>+AFIRMACIONES!B52</f>
        <v>0</v>
      </c>
      <c r="K25" s="53"/>
      <c r="L25" s="53"/>
      <c r="M25" s="50">
        <v>122</v>
      </c>
      <c r="N25" s="51">
        <v>2</v>
      </c>
      <c r="O25" s="53"/>
      <c r="P25" s="54">
        <f>+AFIRMACIONES!B151</f>
        <v>0</v>
      </c>
      <c r="Q25" s="53"/>
      <c r="R25" s="53"/>
      <c r="S25" s="52"/>
      <c r="T25" s="53"/>
      <c r="U25" s="53"/>
      <c r="V25" s="53"/>
      <c r="W25" s="52"/>
      <c r="X25" s="50">
        <v>221</v>
      </c>
      <c r="Y25" s="51">
        <v>8</v>
      </c>
      <c r="Z25" s="52"/>
      <c r="AA25" s="53"/>
      <c r="AB25" s="55"/>
      <c r="AC25" s="53"/>
      <c r="AD25" s="53"/>
      <c r="AE25" s="53"/>
      <c r="AF25" s="55"/>
      <c r="AG25" s="54">
        <f>+AFIRMACIONES!B250</f>
        <v>0</v>
      </c>
      <c r="AH25" s="53"/>
    </row>
    <row r="26" spans="2:34" ht="12.75" hidden="1" customHeight="1" x14ac:dyDescent="0.25">
      <c r="B26" s="50">
        <v>24</v>
      </c>
      <c r="C26" s="51">
        <v>1</v>
      </c>
      <c r="D26" s="54">
        <f>+AFIRMACIONES!B53</f>
        <v>0</v>
      </c>
      <c r="E26" s="53"/>
      <c r="F26" s="53"/>
      <c r="G26" s="53"/>
      <c r="H26" s="53"/>
      <c r="I26" s="53"/>
      <c r="J26" s="53"/>
      <c r="K26" s="53"/>
      <c r="L26" s="53"/>
      <c r="M26" s="50">
        <v>123</v>
      </c>
      <c r="N26" s="51">
        <v>4</v>
      </c>
      <c r="O26" s="53"/>
      <c r="P26" s="53"/>
      <c r="Q26" s="53"/>
      <c r="R26" s="54">
        <f>+AFIRMACIONES!B152</f>
        <v>0</v>
      </c>
      <c r="S26" s="53"/>
      <c r="T26" s="53"/>
      <c r="U26" s="53"/>
      <c r="V26" s="53"/>
      <c r="W26" s="52"/>
      <c r="X26" s="50">
        <v>222</v>
      </c>
      <c r="Y26" s="51">
        <v>5</v>
      </c>
      <c r="Z26" s="53"/>
      <c r="AA26" s="53"/>
      <c r="AB26" s="55"/>
      <c r="AC26" s="53"/>
      <c r="AD26" s="54">
        <f>+AFIRMACIONES!B251</f>
        <v>0</v>
      </c>
      <c r="AE26" s="53"/>
      <c r="AF26" s="55"/>
      <c r="AG26" s="53"/>
      <c r="AH26" s="53"/>
    </row>
    <row r="27" spans="2:34" ht="12.75" hidden="1" customHeight="1" x14ac:dyDescent="0.25">
      <c r="B27" s="50">
        <v>25</v>
      </c>
      <c r="C27" s="51">
        <v>9</v>
      </c>
      <c r="D27" s="53"/>
      <c r="E27" s="53"/>
      <c r="F27" s="53"/>
      <c r="G27" s="52"/>
      <c r="H27" s="53"/>
      <c r="I27" s="53"/>
      <c r="J27" s="53"/>
      <c r="K27" s="53"/>
      <c r="L27" s="54">
        <f>+AFIRMACIONES!B54</f>
        <v>0</v>
      </c>
      <c r="M27" s="50">
        <v>124</v>
      </c>
      <c r="N27" s="51">
        <v>8</v>
      </c>
      <c r="O27" s="53"/>
      <c r="P27" s="53"/>
      <c r="Q27" s="53"/>
      <c r="R27" s="53"/>
      <c r="S27" s="53"/>
      <c r="T27" s="52"/>
      <c r="U27" s="53"/>
      <c r="V27" s="54">
        <f>+AFIRMACIONES!B153</f>
        <v>0</v>
      </c>
      <c r="W27" s="52"/>
      <c r="X27" s="50">
        <v>223</v>
      </c>
      <c r="Y27" s="51">
        <v>1</v>
      </c>
      <c r="Z27" s="54">
        <f>+AFIRMACIONES!B252</f>
        <v>0</v>
      </c>
      <c r="AA27" s="53"/>
      <c r="AB27" s="55"/>
      <c r="AC27" s="53"/>
      <c r="AD27" s="53"/>
      <c r="AE27" s="53"/>
      <c r="AF27" s="55"/>
      <c r="AG27" s="53"/>
      <c r="AH27" s="53"/>
    </row>
    <row r="28" spans="2:34" ht="12.75" hidden="1" customHeight="1" x14ac:dyDescent="0.25">
      <c r="B28" s="50">
        <v>26</v>
      </c>
      <c r="C28" s="51">
        <v>3</v>
      </c>
      <c r="D28" s="53"/>
      <c r="E28" s="53"/>
      <c r="F28" s="54">
        <f>+AFIRMACIONES!B55</f>
        <v>0</v>
      </c>
      <c r="G28" s="53"/>
      <c r="H28" s="53"/>
      <c r="I28" s="52"/>
      <c r="J28" s="53"/>
      <c r="K28" s="53"/>
      <c r="L28" s="53"/>
      <c r="M28" s="50">
        <v>125</v>
      </c>
      <c r="N28" s="51">
        <v>9</v>
      </c>
      <c r="O28" s="53"/>
      <c r="P28" s="52"/>
      <c r="Q28" s="53"/>
      <c r="R28" s="53"/>
      <c r="S28" s="53"/>
      <c r="T28" s="53"/>
      <c r="U28" s="53"/>
      <c r="V28" s="53"/>
      <c r="W28" s="54">
        <f>+AFIRMACIONES!B154</f>
        <v>0</v>
      </c>
      <c r="X28" s="50">
        <v>224</v>
      </c>
      <c r="Y28" s="51">
        <v>2</v>
      </c>
      <c r="Z28" s="53"/>
      <c r="AA28" s="54">
        <f>+AFIRMACIONES!B253</f>
        <v>0</v>
      </c>
      <c r="AB28" s="55"/>
      <c r="AC28" s="53"/>
      <c r="AD28" s="53"/>
      <c r="AE28" s="52"/>
      <c r="AF28" s="55"/>
      <c r="AG28" s="53"/>
      <c r="AH28" s="53"/>
    </row>
    <row r="29" spans="2:34" ht="12.75" hidden="1" customHeight="1" x14ac:dyDescent="0.25">
      <c r="B29" s="50">
        <v>27</v>
      </c>
      <c r="C29" s="51">
        <v>6</v>
      </c>
      <c r="D29" s="53"/>
      <c r="E29" s="53"/>
      <c r="F29" s="53"/>
      <c r="G29" s="53"/>
      <c r="H29" s="53"/>
      <c r="I29" s="54">
        <f>+AFIRMACIONES!B56</f>
        <v>0</v>
      </c>
      <c r="J29" s="53"/>
      <c r="K29" s="52"/>
      <c r="L29" s="53"/>
      <c r="M29" s="50">
        <v>126</v>
      </c>
      <c r="N29" s="51">
        <v>6</v>
      </c>
      <c r="O29" s="53"/>
      <c r="P29" s="53"/>
      <c r="Q29" s="53"/>
      <c r="R29" s="53"/>
      <c r="S29" s="53"/>
      <c r="T29" s="54">
        <f>+AFIRMACIONES!B155</f>
        <v>0</v>
      </c>
      <c r="U29" s="52"/>
      <c r="V29" s="53"/>
      <c r="W29" s="52"/>
      <c r="X29" s="50">
        <v>225</v>
      </c>
      <c r="Y29" s="51">
        <v>6</v>
      </c>
      <c r="Z29" s="53"/>
      <c r="AA29" s="52"/>
      <c r="AB29" s="55"/>
      <c r="AC29" s="53"/>
      <c r="AD29" s="53"/>
      <c r="AE29" s="54">
        <f>+AFIRMACIONES!B254</f>
        <v>0</v>
      </c>
      <c r="AF29" s="55"/>
      <c r="AG29" s="53"/>
      <c r="AH29" s="53"/>
    </row>
    <row r="30" spans="2:34" ht="12.75" hidden="1" customHeight="1" x14ac:dyDescent="0.25">
      <c r="B30" s="50">
        <v>28</v>
      </c>
      <c r="C30" s="51">
        <v>2</v>
      </c>
      <c r="D30" s="52"/>
      <c r="E30" s="54">
        <f>+AFIRMACIONES!B57</f>
        <v>0</v>
      </c>
      <c r="F30" s="52"/>
      <c r="G30" s="53"/>
      <c r="H30" s="53"/>
      <c r="I30" s="53"/>
      <c r="J30" s="53"/>
      <c r="K30" s="53"/>
      <c r="L30" s="53"/>
      <c r="M30" s="50">
        <v>127</v>
      </c>
      <c r="N30" s="51">
        <v>6</v>
      </c>
      <c r="O30" s="53"/>
      <c r="P30" s="52"/>
      <c r="Q30" s="53"/>
      <c r="R30" s="53"/>
      <c r="S30" s="53"/>
      <c r="T30" s="54">
        <f>+AFIRMACIONES!B156</f>
        <v>0</v>
      </c>
      <c r="U30" s="53"/>
      <c r="V30" s="53"/>
      <c r="W30" s="52"/>
      <c r="X30" s="50">
        <v>226</v>
      </c>
      <c r="Y30" s="51">
        <v>1</v>
      </c>
      <c r="Z30" s="54">
        <f>+AFIRMACIONES!B255</f>
        <v>0</v>
      </c>
      <c r="AA30" s="53"/>
      <c r="AB30" s="55"/>
      <c r="AC30" s="53"/>
      <c r="AD30" s="52"/>
      <c r="AE30" s="53"/>
      <c r="AF30" s="55"/>
      <c r="AG30" s="53"/>
      <c r="AH30" s="53"/>
    </row>
    <row r="31" spans="2:34" ht="12.75" hidden="1" customHeight="1" x14ac:dyDescent="0.25">
      <c r="B31" s="50">
        <v>29</v>
      </c>
      <c r="C31" s="51">
        <v>3</v>
      </c>
      <c r="D31" s="53"/>
      <c r="E31" s="53"/>
      <c r="F31" s="54">
        <f>+AFIRMACIONES!B58</f>
        <v>0</v>
      </c>
      <c r="G31" s="53"/>
      <c r="H31" s="53"/>
      <c r="I31" s="53"/>
      <c r="J31" s="53"/>
      <c r="K31" s="52"/>
      <c r="L31" s="53"/>
      <c r="M31" s="50">
        <v>128</v>
      </c>
      <c r="N31" s="51">
        <v>1</v>
      </c>
      <c r="O31" s="54">
        <f>+AFIRMACIONES!B157</f>
        <v>0</v>
      </c>
      <c r="P31" s="53"/>
      <c r="Q31" s="53"/>
      <c r="R31" s="53"/>
      <c r="S31" s="53"/>
      <c r="T31" s="53"/>
      <c r="U31" s="52"/>
      <c r="V31" s="53"/>
      <c r="W31" s="52"/>
      <c r="X31" s="50">
        <v>227</v>
      </c>
      <c r="Y31" s="51">
        <v>2</v>
      </c>
      <c r="Z31" s="53"/>
      <c r="AA31" s="54">
        <f>+AFIRMACIONES!B256</f>
        <v>0</v>
      </c>
      <c r="AB31" s="55"/>
      <c r="AC31" s="53"/>
      <c r="AD31" s="53"/>
      <c r="AE31" s="52"/>
      <c r="AF31" s="55"/>
      <c r="AG31" s="53"/>
      <c r="AH31" s="53"/>
    </row>
    <row r="32" spans="2:34" ht="12.75" hidden="1" customHeight="1" x14ac:dyDescent="0.25">
      <c r="B32" s="50">
        <v>30</v>
      </c>
      <c r="C32" s="51">
        <v>8</v>
      </c>
      <c r="D32" s="53"/>
      <c r="E32" s="52"/>
      <c r="F32" s="53"/>
      <c r="G32" s="53"/>
      <c r="H32" s="53"/>
      <c r="I32" s="53"/>
      <c r="J32" s="53"/>
      <c r="K32" s="54">
        <f>+AFIRMACIONES!B59</f>
        <v>0</v>
      </c>
      <c r="L32" s="53"/>
      <c r="M32" s="50">
        <v>129</v>
      </c>
      <c r="N32" s="51">
        <v>2</v>
      </c>
      <c r="O32" s="53"/>
      <c r="P32" s="54">
        <f>+AFIRMACIONES!B158</f>
        <v>0</v>
      </c>
      <c r="Q32" s="53"/>
      <c r="R32" s="53"/>
      <c r="S32" s="53"/>
      <c r="T32" s="53"/>
      <c r="U32" s="53"/>
      <c r="V32" s="53"/>
      <c r="W32" s="52"/>
      <c r="X32" s="50">
        <v>228</v>
      </c>
      <c r="Y32" s="51">
        <v>5</v>
      </c>
      <c r="Z32" s="53"/>
      <c r="AA32" s="53"/>
      <c r="AB32" s="55"/>
      <c r="AC32" s="53"/>
      <c r="AD32" s="54">
        <f>+AFIRMACIONES!B257</f>
        <v>0</v>
      </c>
      <c r="AE32" s="53"/>
      <c r="AF32" s="55"/>
      <c r="AG32" s="53"/>
      <c r="AH32" s="53"/>
    </row>
    <row r="33" spans="2:34" ht="12.75" hidden="1" customHeight="1" x14ac:dyDescent="0.25">
      <c r="B33" s="50">
        <v>31</v>
      </c>
      <c r="C33" s="51">
        <v>5</v>
      </c>
      <c r="D33" s="53"/>
      <c r="E33" s="53"/>
      <c r="F33" s="52"/>
      <c r="G33" s="53"/>
      <c r="H33" s="54">
        <f>+AFIRMACIONES!B60</f>
        <v>0</v>
      </c>
      <c r="I33" s="53"/>
      <c r="J33" s="53"/>
      <c r="K33" s="53"/>
      <c r="L33" s="53"/>
      <c r="M33" s="50">
        <v>130</v>
      </c>
      <c r="N33" s="51">
        <v>8</v>
      </c>
      <c r="O33" s="53"/>
      <c r="P33" s="53"/>
      <c r="Q33" s="53"/>
      <c r="R33" s="53"/>
      <c r="S33" s="53"/>
      <c r="T33" s="53"/>
      <c r="U33" s="52"/>
      <c r="V33" s="54">
        <f>+AFIRMACIONES!B159</f>
        <v>0</v>
      </c>
      <c r="W33" s="52"/>
      <c r="X33" s="50">
        <v>229</v>
      </c>
      <c r="Y33" s="51">
        <v>6</v>
      </c>
      <c r="Z33" s="53"/>
      <c r="AA33" s="53"/>
      <c r="AB33" s="55"/>
      <c r="AC33" s="53"/>
      <c r="AD33" s="53"/>
      <c r="AE33" s="54">
        <f>+AFIRMACIONES!B258</f>
        <v>0</v>
      </c>
      <c r="AF33" s="55"/>
      <c r="AG33" s="53"/>
      <c r="AH33" s="53"/>
    </row>
    <row r="34" spans="2:34" ht="12.75" hidden="1" customHeight="1" x14ac:dyDescent="0.25">
      <c r="B34" s="50">
        <v>32</v>
      </c>
      <c r="C34" s="51">
        <v>1</v>
      </c>
      <c r="D34" s="54">
        <f>+AFIRMACIONES!B61</f>
        <v>0</v>
      </c>
      <c r="E34" s="53"/>
      <c r="F34" s="53"/>
      <c r="G34" s="53"/>
      <c r="H34" s="53"/>
      <c r="I34" s="53"/>
      <c r="J34" s="53"/>
      <c r="K34" s="52"/>
      <c r="L34" s="53"/>
      <c r="M34" s="50">
        <v>131</v>
      </c>
      <c r="N34" s="51">
        <v>3</v>
      </c>
      <c r="O34" s="53"/>
      <c r="P34" s="53"/>
      <c r="Q34" s="54">
        <f>+AFIRMACIONES!B160</f>
        <v>0</v>
      </c>
      <c r="R34" s="53"/>
      <c r="S34" s="53"/>
      <c r="T34" s="53"/>
      <c r="U34" s="53"/>
      <c r="V34" s="53"/>
      <c r="W34" s="52"/>
      <c r="X34" s="50">
        <v>230</v>
      </c>
      <c r="Y34" s="51">
        <v>8</v>
      </c>
      <c r="Z34" s="52"/>
      <c r="AA34" s="53"/>
      <c r="AB34" s="55"/>
      <c r="AC34" s="52"/>
      <c r="AD34" s="53"/>
      <c r="AE34" s="53"/>
      <c r="AF34" s="55"/>
      <c r="AG34" s="54">
        <f>+AFIRMACIONES!B259</f>
        <v>0</v>
      </c>
      <c r="AH34" s="53"/>
    </row>
    <row r="35" spans="2:34" ht="12.75" hidden="1" customHeight="1" x14ac:dyDescent="0.25">
      <c r="B35" s="50">
        <v>33</v>
      </c>
      <c r="C35" s="51">
        <v>6</v>
      </c>
      <c r="D35" s="53"/>
      <c r="E35" s="52"/>
      <c r="F35" s="53"/>
      <c r="G35" s="53"/>
      <c r="H35" s="53"/>
      <c r="I35" s="54">
        <f>+AFIRMACIONES!B62</f>
        <v>0</v>
      </c>
      <c r="J35" s="53"/>
      <c r="K35" s="53"/>
      <c r="L35" s="53"/>
      <c r="M35" s="50">
        <v>132</v>
      </c>
      <c r="N35" s="51">
        <v>7</v>
      </c>
      <c r="O35" s="53"/>
      <c r="P35" s="53"/>
      <c r="Q35" s="52"/>
      <c r="R35" s="53"/>
      <c r="S35" s="53"/>
      <c r="T35" s="53"/>
      <c r="U35" s="54">
        <f>+AFIRMACIONES!B161</f>
        <v>0</v>
      </c>
      <c r="V35" s="53"/>
      <c r="W35" s="52"/>
      <c r="X35" s="50">
        <v>231</v>
      </c>
      <c r="Y35" s="51">
        <v>9</v>
      </c>
      <c r="Z35" s="53"/>
      <c r="AA35" s="53"/>
      <c r="AB35" s="55"/>
      <c r="AC35" s="53"/>
      <c r="AD35" s="53"/>
      <c r="AE35" s="53"/>
      <c r="AF35" s="55"/>
      <c r="AG35" s="53"/>
      <c r="AH35" s="54">
        <f>+AFIRMACIONES!B260</f>
        <v>0</v>
      </c>
    </row>
    <row r="36" spans="2:34" ht="12.75" hidden="1" customHeight="1" x14ac:dyDescent="0.25">
      <c r="B36" s="50">
        <v>34</v>
      </c>
      <c r="C36" s="51">
        <v>9</v>
      </c>
      <c r="D36" s="53"/>
      <c r="E36" s="53"/>
      <c r="F36" s="52"/>
      <c r="G36" s="53"/>
      <c r="H36" s="53"/>
      <c r="I36" s="53"/>
      <c r="J36" s="53"/>
      <c r="K36" s="53"/>
      <c r="L36" s="54">
        <f>+AFIRMACIONES!B63</f>
        <v>0</v>
      </c>
      <c r="M36" s="50">
        <v>133</v>
      </c>
      <c r="N36" s="51">
        <v>5</v>
      </c>
      <c r="O36" s="53"/>
      <c r="P36" s="53"/>
      <c r="Q36" s="53"/>
      <c r="R36" s="53"/>
      <c r="S36" s="54">
        <f>+AFIRMACIONES!B162</f>
        <v>0</v>
      </c>
      <c r="T36" s="53"/>
      <c r="U36" s="53"/>
      <c r="V36" s="53"/>
      <c r="W36" s="52"/>
      <c r="X36" s="50">
        <v>232</v>
      </c>
      <c r="Y36" s="51">
        <v>4</v>
      </c>
      <c r="Z36" s="53"/>
      <c r="AA36" s="53"/>
      <c r="AB36" s="55"/>
      <c r="AC36" s="54">
        <f>+AFIRMACIONES!B261</f>
        <v>0</v>
      </c>
      <c r="AD36" s="52"/>
      <c r="AE36" s="53"/>
      <c r="AF36" s="55"/>
      <c r="AG36" s="53"/>
      <c r="AH36" s="53"/>
    </row>
    <row r="37" spans="2:34" ht="12.75" hidden="1" customHeight="1" x14ac:dyDescent="0.25">
      <c r="B37" s="50">
        <v>35</v>
      </c>
      <c r="C37" s="51">
        <v>4</v>
      </c>
      <c r="D37" s="53"/>
      <c r="E37" s="53"/>
      <c r="F37" s="53"/>
      <c r="G37" s="54">
        <f>+AFIRMACIONES!B64</f>
        <v>0</v>
      </c>
      <c r="H37" s="52"/>
      <c r="I37" s="53"/>
      <c r="J37" s="53"/>
      <c r="K37" s="53"/>
      <c r="L37" s="53"/>
      <c r="M37" s="50">
        <v>134</v>
      </c>
      <c r="N37" s="51">
        <v>4</v>
      </c>
      <c r="O37" s="53"/>
      <c r="P37" s="53"/>
      <c r="Q37" s="52"/>
      <c r="R37" s="54">
        <f>+AFIRMACIONES!B163</f>
        <v>0</v>
      </c>
      <c r="S37" s="53"/>
      <c r="T37" s="53"/>
      <c r="U37" s="53"/>
      <c r="V37" s="53"/>
      <c r="W37" s="52"/>
      <c r="X37" s="50">
        <v>233</v>
      </c>
      <c r="Y37" s="51">
        <v>7</v>
      </c>
      <c r="Z37" s="53"/>
      <c r="AA37" s="53"/>
      <c r="AB37" s="55"/>
      <c r="AC37" s="53"/>
      <c r="AD37" s="53"/>
      <c r="AE37" s="53"/>
      <c r="AF37" s="54">
        <f>+AFIRMACIONES!B262</f>
        <v>0</v>
      </c>
      <c r="AG37" s="53"/>
      <c r="AH37" s="53"/>
    </row>
    <row r="38" spans="2:34" ht="12.75" hidden="1" customHeight="1" x14ac:dyDescent="0.25">
      <c r="B38" s="50">
        <v>36</v>
      </c>
      <c r="C38" s="51">
        <v>7</v>
      </c>
      <c r="D38" s="53"/>
      <c r="E38" s="53"/>
      <c r="F38" s="52"/>
      <c r="G38" s="53"/>
      <c r="H38" s="53"/>
      <c r="I38" s="53"/>
      <c r="J38" s="54">
        <f>+AFIRMACIONES!B65</f>
        <v>0</v>
      </c>
      <c r="K38" s="53"/>
      <c r="L38" s="53"/>
      <c r="M38" s="50">
        <v>135</v>
      </c>
      <c r="N38" s="51">
        <v>9</v>
      </c>
      <c r="O38" s="53"/>
      <c r="P38" s="53"/>
      <c r="Q38" s="53"/>
      <c r="R38" s="53"/>
      <c r="S38" s="52"/>
      <c r="T38" s="53"/>
      <c r="U38" s="53"/>
      <c r="V38" s="53"/>
      <c r="W38" s="54">
        <f>+AFIRMACIONES!B164</f>
        <v>0</v>
      </c>
      <c r="X38" s="50">
        <v>234</v>
      </c>
      <c r="Y38" s="51">
        <v>3</v>
      </c>
      <c r="Z38" s="53"/>
      <c r="AA38" s="53"/>
      <c r="AB38" s="54">
        <f>+AFIRMACIONES!B263</f>
        <v>0</v>
      </c>
      <c r="AC38" s="53"/>
      <c r="AD38" s="53"/>
      <c r="AE38" s="53"/>
      <c r="AF38" s="55"/>
      <c r="AG38" s="53"/>
      <c r="AH38" s="53"/>
    </row>
    <row r="39" spans="2:34" ht="12.75" hidden="1" customHeight="1" x14ac:dyDescent="0.25">
      <c r="B39" s="50">
        <v>37</v>
      </c>
      <c r="C39" s="51">
        <v>4</v>
      </c>
      <c r="D39" s="53"/>
      <c r="E39" s="53"/>
      <c r="F39" s="53"/>
      <c r="G39" s="54">
        <f>+AFIRMACIONES!B66</f>
        <v>0</v>
      </c>
      <c r="H39" s="53"/>
      <c r="I39" s="53"/>
      <c r="J39" s="52"/>
      <c r="K39" s="53"/>
      <c r="L39" s="53"/>
      <c r="M39" s="50">
        <v>136</v>
      </c>
      <c r="N39" s="51">
        <v>9</v>
      </c>
      <c r="O39" s="53"/>
      <c r="P39" s="53"/>
      <c r="Q39" s="53"/>
      <c r="R39" s="52"/>
      <c r="S39" s="52"/>
      <c r="T39" s="53"/>
      <c r="U39" s="53"/>
      <c r="V39" s="53"/>
      <c r="W39" s="54">
        <f>+AFIRMACIONES!B165</f>
        <v>0</v>
      </c>
      <c r="X39" s="50">
        <v>235</v>
      </c>
      <c r="Y39" s="51">
        <v>8</v>
      </c>
      <c r="Z39" s="52"/>
      <c r="AA39" s="53"/>
      <c r="AB39" s="55"/>
      <c r="AC39" s="53"/>
      <c r="AD39" s="53"/>
      <c r="AE39" s="53"/>
      <c r="AF39" s="55"/>
      <c r="AG39" s="54">
        <f>+AFIRMACIONES!B264</f>
        <v>0</v>
      </c>
      <c r="AH39" s="53"/>
    </row>
    <row r="40" spans="2:34" ht="12.75" hidden="1" customHeight="1" x14ac:dyDescent="0.25">
      <c r="B40" s="50">
        <v>38</v>
      </c>
      <c r="C40" s="51">
        <v>5</v>
      </c>
      <c r="D40" s="53"/>
      <c r="E40" s="53"/>
      <c r="F40" s="53"/>
      <c r="G40" s="53"/>
      <c r="H40" s="54">
        <f>+AFIRMACIONES!B67</f>
        <v>0</v>
      </c>
      <c r="I40" s="52"/>
      <c r="J40" s="53"/>
      <c r="K40" s="53"/>
      <c r="L40" s="53"/>
      <c r="M40" s="50">
        <v>137</v>
      </c>
      <c r="N40" s="51">
        <v>6</v>
      </c>
      <c r="O40" s="53"/>
      <c r="P40" s="53"/>
      <c r="Q40" s="52"/>
      <c r="R40" s="53"/>
      <c r="S40" s="53"/>
      <c r="T40" s="54">
        <f>+AFIRMACIONES!B166</f>
        <v>0</v>
      </c>
      <c r="U40" s="53"/>
      <c r="V40" s="53"/>
      <c r="W40" s="52"/>
      <c r="X40" s="50">
        <v>236</v>
      </c>
      <c r="Y40" s="51">
        <v>9</v>
      </c>
      <c r="Z40" s="53"/>
      <c r="AA40" s="53"/>
      <c r="AB40" s="55"/>
      <c r="AC40" s="53"/>
      <c r="AD40" s="53"/>
      <c r="AE40" s="53"/>
      <c r="AF40" s="55"/>
      <c r="AG40" s="53"/>
      <c r="AH40" s="54">
        <f>+AFIRMACIONES!B265</f>
        <v>0</v>
      </c>
    </row>
    <row r="41" spans="2:34" ht="12.75" hidden="1" customHeight="1" x14ac:dyDescent="0.25">
      <c r="B41" s="50">
        <v>39</v>
      </c>
      <c r="C41" s="51">
        <v>1</v>
      </c>
      <c r="D41" s="54">
        <f>+AFIRMACIONES!B68</f>
        <v>0</v>
      </c>
      <c r="E41" s="53"/>
      <c r="F41" s="53"/>
      <c r="G41" s="53"/>
      <c r="H41" s="53"/>
      <c r="I41" s="52"/>
      <c r="J41" s="53"/>
      <c r="K41" s="53"/>
      <c r="L41" s="53"/>
      <c r="M41" s="50">
        <v>138</v>
      </c>
      <c r="N41" s="51">
        <v>7</v>
      </c>
      <c r="O41" s="53"/>
      <c r="P41" s="53"/>
      <c r="Q41" s="53"/>
      <c r="R41" s="53"/>
      <c r="S41" s="53"/>
      <c r="T41" s="53"/>
      <c r="U41" s="54">
        <f>+AFIRMACIONES!B167</f>
        <v>0</v>
      </c>
      <c r="V41" s="53"/>
      <c r="W41" s="52"/>
      <c r="X41" s="50">
        <v>237</v>
      </c>
      <c r="Y41" s="51">
        <v>4</v>
      </c>
      <c r="Z41" s="53"/>
      <c r="AA41" s="53"/>
      <c r="AB41" s="55"/>
      <c r="AC41" s="54">
        <f>+AFIRMACIONES!B266</f>
        <v>0</v>
      </c>
      <c r="AD41" s="52"/>
      <c r="AE41" s="53"/>
      <c r="AF41" s="55"/>
      <c r="AG41" s="53"/>
      <c r="AH41" s="53"/>
    </row>
    <row r="42" spans="2:34" ht="12.75" hidden="1" customHeight="1" x14ac:dyDescent="0.25">
      <c r="B42" s="50">
        <v>40</v>
      </c>
      <c r="C42" s="51">
        <v>2</v>
      </c>
      <c r="D42" s="52"/>
      <c r="E42" s="54">
        <f>+AFIRMACIONES!B69</f>
        <v>0</v>
      </c>
      <c r="F42" s="52"/>
      <c r="G42" s="53"/>
      <c r="H42" s="53"/>
      <c r="I42" s="53"/>
      <c r="J42" s="53"/>
      <c r="K42" s="53"/>
      <c r="L42" s="53"/>
      <c r="M42" s="50">
        <v>139</v>
      </c>
      <c r="N42" s="51">
        <v>5</v>
      </c>
      <c r="O42" s="53"/>
      <c r="P42" s="53"/>
      <c r="Q42" s="53"/>
      <c r="R42" s="53"/>
      <c r="S42" s="54">
        <f>+AFIRMACIONES!B168</f>
        <v>0</v>
      </c>
      <c r="T42" s="53"/>
      <c r="U42" s="52"/>
      <c r="V42" s="53"/>
      <c r="W42" s="52"/>
      <c r="X42" s="50">
        <v>238</v>
      </c>
      <c r="Y42" s="51">
        <v>5</v>
      </c>
      <c r="Z42" s="53"/>
      <c r="AA42" s="53"/>
      <c r="AB42" s="55"/>
      <c r="AC42" s="53"/>
      <c r="AD42" s="54">
        <f>+AFIRMACIONES!B267</f>
        <v>0</v>
      </c>
      <c r="AE42" s="53"/>
      <c r="AF42" s="55"/>
      <c r="AG42" s="53"/>
      <c r="AH42" s="53"/>
    </row>
    <row r="43" spans="2:34" ht="12.75" hidden="1" customHeight="1" x14ac:dyDescent="0.25">
      <c r="B43" s="50">
        <v>41</v>
      </c>
      <c r="C43" s="51">
        <v>8</v>
      </c>
      <c r="D43" s="53"/>
      <c r="E43" s="53"/>
      <c r="F43" s="53"/>
      <c r="G43" s="53"/>
      <c r="H43" s="53"/>
      <c r="I43" s="53"/>
      <c r="J43" s="53"/>
      <c r="K43" s="54">
        <f>+AFIRMACIONES!B70</f>
        <v>0</v>
      </c>
      <c r="L43" s="53"/>
      <c r="M43" s="50">
        <v>140</v>
      </c>
      <c r="N43" s="51">
        <v>4</v>
      </c>
      <c r="O43" s="53"/>
      <c r="P43" s="53"/>
      <c r="Q43" s="52"/>
      <c r="R43" s="54">
        <f>+AFIRMACIONES!B169</f>
        <v>0</v>
      </c>
      <c r="S43" s="52"/>
      <c r="T43" s="53"/>
      <c r="U43" s="53"/>
      <c r="V43" s="53"/>
      <c r="W43" s="52"/>
      <c r="X43" s="50">
        <v>239</v>
      </c>
      <c r="Y43" s="51">
        <v>6</v>
      </c>
      <c r="Z43" s="53"/>
      <c r="AA43" s="53"/>
      <c r="AB43" s="55"/>
      <c r="AC43" s="52"/>
      <c r="AD43" s="53"/>
      <c r="AE43" s="54">
        <f>+AFIRMACIONES!B268</f>
        <v>0</v>
      </c>
      <c r="AF43" s="55"/>
      <c r="AG43" s="53"/>
      <c r="AH43" s="53"/>
    </row>
    <row r="44" spans="2:34" ht="12.75" hidden="1" customHeight="1" x14ac:dyDescent="0.25">
      <c r="B44" s="50">
        <v>42</v>
      </c>
      <c r="C44" s="51">
        <v>7</v>
      </c>
      <c r="D44" s="53"/>
      <c r="E44" s="52"/>
      <c r="F44" s="53"/>
      <c r="G44" s="53"/>
      <c r="H44" s="53"/>
      <c r="I44" s="53"/>
      <c r="J44" s="54">
        <f>+AFIRMACIONES!B71</f>
        <v>0</v>
      </c>
      <c r="K44" s="53"/>
      <c r="L44" s="53"/>
      <c r="M44" s="50">
        <v>141</v>
      </c>
      <c r="N44" s="51">
        <v>3</v>
      </c>
      <c r="O44" s="53"/>
      <c r="P44" s="53"/>
      <c r="Q44" s="54">
        <f>+AFIRMACIONES!B170</f>
        <v>0</v>
      </c>
      <c r="R44" s="53"/>
      <c r="S44" s="53"/>
      <c r="T44" s="53"/>
      <c r="U44" s="53"/>
      <c r="V44" s="53"/>
      <c r="W44" s="52"/>
      <c r="X44" s="50">
        <v>240</v>
      </c>
      <c r="Y44" s="51">
        <v>1</v>
      </c>
      <c r="Z44" s="54">
        <f>+AFIRMACIONES!B269</f>
        <v>0</v>
      </c>
      <c r="AA44" s="53"/>
      <c r="AB44" s="55"/>
      <c r="AC44" s="53"/>
      <c r="AD44" s="53"/>
      <c r="AE44" s="53"/>
      <c r="AF44" s="55"/>
      <c r="AG44" s="53"/>
      <c r="AH44" s="53"/>
    </row>
    <row r="45" spans="2:34" ht="12.75" hidden="1" customHeight="1" x14ac:dyDescent="0.25">
      <c r="B45" s="50">
        <v>43</v>
      </c>
      <c r="C45" s="51">
        <v>9</v>
      </c>
      <c r="D45" s="53"/>
      <c r="E45" s="52"/>
      <c r="F45" s="53"/>
      <c r="G45" s="53"/>
      <c r="H45" s="53"/>
      <c r="I45" s="53"/>
      <c r="J45" s="53"/>
      <c r="K45" s="53"/>
      <c r="L45" s="54">
        <f>+AFIRMACIONES!B72</f>
        <v>0</v>
      </c>
      <c r="M45" s="50">
        <v>142</v>
      </c>
      <c r="N45" s="51">
        <v>2</v>
      </c>
      <c r="O45" s="53"/>
      <c r="P45" s="54">
        <f>+AFIRMACIONES!B171</f>
        <v>0</v>
      </c>
      <c r="Q45" s="53"/>
      <c r="R45" s="53"/>
      <c r="S45" s="53"/>
      <c r="T45" s="53"/>
      <c r="U45" s="53"/>
      <c r="V45" s="53"/>
      <c r="W45" s="52"/>
      <c r="X45" s="50">
        <v>241</v>
      </c>
      <c r="Y45" s="51">
        <v>7</v>
      </c>
      <c r="Z45" s="53"/>
      <c r="AA45" s="53"/>
      <c r="AB45" s="55"/>
      <c r="AC45" s="53"/>
      <c r="AD45" s="53"/>
      <c r="AE45" s="52"/>
      <c r="AF45" s="54">
        <f>+AFIRMACIONES!B270</f>
        <v>0</v>
      </c>
      <c r="AG45" s="53"/>
      <c r="AH45" s="53"/>
    </row>
    <row r="46" spans="2:34" ht="12.75" hidden="1" customHeight="1" x14ac:dyDescent="0.25">
      <c r="B46" s="50">
        <v>44</v>
      </c>
      <c r="C46" s="51">
        <v>3</v>
      </c>
      <c r="D46" s="53"/>
      <c r="E46" s="53"/>
      <c r="F46" s="54">
        <f>+AFIRMACIONES!B73</f>
        <v>0</v>
      </c>
      <c r="G46" s="53"/>
      <c r="H46" s="52"/>
      <c r="I46" s="53"/>
      <c r="J46" s="53"/>
      <c r="K46" s="53"/>
      <c r="L46" s="53"/>
      <c r="M46" s="50">
        <v>143</v>
      </c>
      <c r="N46" s="51">
        <v>8</v>
      </c>
      <c r="O46" s="53"/>
      <c r="P46" s="53"/>
      <c r="Q46" s="53"/>
      <c r="R46" s="53"/>
      <c r="S46" s="53"/>
      <c r="T46" s="53"/>
      <c r="U46" s="53"/>
      <c r="V46" s="54">
        <f>+AFIRMACIONES!B172</f>
        <v>0</v>
      </c>
      <c r="W46" s="52"/>
      <c r="X46" s="50">
        <v>242</v>
      </c>
      <c r="Y46" s="51">
        <v>2</v>
      </c>
      <c r="Z46" s="53"/>
      <c r="AA46" s="54">
        <f>+AFIRMACIONES!B271</f>
        <v>0</v>
      </c>
      <c r="AB46" s="55"/>
      <c r="AC46" s="53"/>
      <c r="AD46" s="53"/>
      <c r="AE46" s="52"/>
      <c r="AF46" s="55"/>
      <c r="AG46" s="53"/>
      <c r="AH46" s="53"/>
    </row>
    <row r="47" spans="2:34" ht="12.75" hidden="1" customHeight="1" x14ac:dyDescent="0.25">
      <c r="B47" s="50">
        <v>45</v>
      </c>
      <c r="C47" s="51">
        <v>6</v>
      </c>
      <c r="D47" s="53"/>
      <c r="E47" s="53"/>
      <c r="F47" s="53"/>
      <c r="G47" s="53"/>
      <c r="H47" s="53"/>
      <c r="I47" s="54">
        <f>+AFIRMACIONES!B74</f>
        <v>0</v>
      </c>
      <c r="J47" s="53"/>
      <c r="K47" s="52"/>
      <c r="L47" s="53"/>
      <c r="M47" s="50">
        <v>144</v>
      </c>
      <c r="N47" s="51">
        <v>1</v>
      </c>
      <c r="O47" s="54">
        <f>+AFIRMACIONES!B173</f>
        <v>0</v>
      </c>
      <c r="P47" s="53"/>
      <c r="Q47" s="53"/>
      <c r="R47" s="52"/>
      <c r="S47" s="53"/>
      <c r="T47" s="53"/>
      <c r="U47" s="53"/>
      <c r="V47" s="53"/>
      <c r="W47" s="52"/>
      <c r="X47" s="50">
        <v>243</v>
      </c>
      <c r="Y47" s="51">
        <v>3</v>
      </c>
      <c r="Z47" s="53"/>
      <c r="AA47" s="53"/>
      <c r="AB47" s="54">
        <f>+AFIRMACIONES!B272</f>
        <v>0</v>
      </c>
      <c r="AC47" s="52"/>
      <c r="AD47" s="53"/>
      <c r="AE47" s="53"/>
      <c r="AF47" s="55"/>
      <c r="AG47" s="53"/>
      <c r="AH47" s="53"/>
    </row>
    <row r="48" spans="2:34" ht="12.75" hidden="1" customHeight="1" x14ac:dyDescent="0.25">
      <c r="B48" s="50">
        <v>46</v>
      </c>
      <c r="C48" s="51">
        <v>2</v>
      </c>
      <c r="D48" s="52"/>
      <c r="E48" s="54">
        <f>+AFIRMACIONES!B75</f>
        <v>0</v>
      </c>
      <c r="F48" s="53"/>
      <c r="G48" s="53"/>
      <c r="H48" s="53"/>
      <c r="I48" s="53"/>
      <c r="J48" s="53"/>
      <c r="K48" s="53"/>
      <c r="L48" s="53"/>
      <c r="M48" s="50">
        <v>145</v>
      </c>
      <c r="N48" s="51">
        <v>6</v>
      </c>
      <c r="O48" s="52"/>
      <c r="P48" s="53"/>
      <c r="Q48" s="53"/>
      <c r="R48" s="53"/>
      <c r="S48" s="53"/>
      <c r="T48" s="54">
        <f>+AFIRMACIONES!B174</f>
        <v>0</v>
      </c>
      <c r="U48" s="53"/>
      <c r="V48" s="53"/>
      <c r="W48" s="52"/>
      <c r="X48" s="50">
        <v>244</v>
      </c>
      <c r="Y48" s="51">
        <v>3</v>
      </c>
      <c r="Z48" s="53"/>
      <c r="AA48" s="53"/>
      <c r="AB48" s="54">
        <f>+AFIRMACIONES!B273</f>
        <v>0</v>
      </c>
      <c r="AC48" s="53"/>
      <c r="AD48" s="53"/>
      <c r="AE48" s="53"/>
      <c r="AF48" s="55"/>
      <c r="AG48" s="53"/>
      <c r="AH48" s="53"/>
    </row>
    <row r="49" spans="2:35" ht="12.75" hidden="1" customHeight="1" x14ac:dyDescent="0.25">
      <c r="B49" s="50">
        <v>47</v>
      </c>
      <c r="C49" s="51">
        <v>5</v>
      </c>
      <c r="D49" s="53"/>
      <c r="E49" s="53"/>
      <c r="F49" s="53"/>
      <c r="G49" s="53"/>
      <c r="H49" s="54">
        <f>+AFIRMACIONES!B76</f>
        <v>0</v>
      </c>
      <c r="I49" s="53"/>
      <c r="J49" s="53"/>
      <c r="K49" s="53"/>
      <c r="L49" s="52"/>
      <c r="M49" s="50">
        <v>146</v>
      </c>
      <c r="N49" s="51">
        <v>4</v>
      </c>
      <c r="O49" s="53"/>
      <c r="P49" s="53"/>
      <c r="Q49" s="52"/>
      <c r="R49" s="54">
        <f>+AFIRMACIONES!B175</f>
        <v>0</v>
      </c>
      <c r="S49" s="53"/>
      <c r="T49" s="53"/>
      <c r="U49" s="53"/>
      <c r="V49" s="53"/>
      <c r="W49" s="52"/>
      <c r="X49" s="50">
        <v>245</v>
      </c>
      <c r="Y49" s="51">
        <v>1</v>
      </c>
      <c r="Z49" s="54">
        <f>+AFIRMACIONES!B274</f>
        <v>0</v>
      </c>
      <c r="AA49" s="53"/>
      <c r="AB49" s="55"/>
      <c r="AC49" s="53"/>
      <c r="AD49" s="53"/>
      <c r="AE49" s="53"/>
      <c r="AF49" s="55"/>
      <c r="AG49" s="53"/>
      <c r="AH49" s="53"/>
    </row>
    <row r="50" spans="2:35" ht="12.75" hidden="1" customHeight="1" x14ac:dyDescent="0.25">
      <c r="B50" s="50">
        <v>48</v>
      </c>
      <c r="C50" s="51">
        <v>9</v>
      </c>
      <c r="D50" s="53"/>
      <c r="E50" s="53"/>
      <c r="F50" s="53"/>
      <c r="G50" s="53"/>
      <c r="H50" s="53"/>
      <c r="I50" s="53"/>
      <c r="J50" s="53"/>
      <c r="K50" s="52"/>
      <c r="L50" s="54">
        <f>+AFIRMACIONES!B77</f>
        <v>0</v>
      </c>
      <c r="M50" s="50">
        <v>147</v>
      </c>
      <c r="N50" s="51">
        <v>9</v>
      </c>
      <c r="O50" s="53"/>
      <c r="P50" s="53"/>
      <c r="Q50" s="53"/>
      <c r="R50" s="53"/>
      <c r="S50" s="52"/>
      <c r="T50" s="53"/>
      <c r="U50" s="53"/>
      <c r="V50" s="53"/>
      <c r="W50" s="54">
        <f>+AFIRMACIONES!B176</f>
        <v>0</v>
      </c>
      <c r="X50" s="50">
        <v>246</v>
      </c>
      <c r="Y50" s="51">
        <v>8</v>
      </c>
      <c r="Z50" s="53"/>
      <c r="AA50" s="53"/>
      <c r="AB50" s="55"/>
      <c r="AC50" s="53"/>
      <c r="AD50" s="53"/>
      <c r="AE50" s="53"/>
      <c r="AF50" s="55"/>
      <c r="AG50" s="54">
        <f>+AFIRMACIONES!B275</f>
        <v>0</v>
      </c>
      <c r="AH50" s="53"/>
    </row>
    <row r="51" spans="2:35" ht="12.75" hidden="1" customHeight="1" x14ac:dyDescent="0.25">
      <c r="B51" s="50">
        <v>49</v>
      </c>
      <c r="C51" s="51">
        <v>8</v>
      </c>
      <c r="D51" s="53"/>
      <c r="E51" s="53"/>
      <c r="F51" s="53"/>
      <c r="G51" s="53"/>
      <c r="H51" s="53"/>
      <c r="I51" s="53"/>
      <c r="J51" s="53"/>
      <c r="K51" s="54">
        <f>+AFIRMACIONES!B78</f>
        <v>0</v>
      </c>
      <c r="L51" s="52"/>
      <c r="M51" s="50">
        <v>148</v>
      </c>
      <c r="N51" s="51">
        <v>7</v>
      </c>
      <c r="O51" s="53"/>
      <c r="P51" s="53"/>
      <c r="Q51" s="53"/>
      <c r="R51" s="53"/>
      <c r="S51" s="53"/>
      <c r="T51" s="53"/>
      <c r="U51" s="54">
        <f>+AFIRMACIONES!B177</f>
        <v>0</v>
      </c>
      <c r="V51" s="53"/>
      <c r="W51" s="52"/>
      <c r="X51" s="50">
        <v>247</v>
      </c>
      <c r="Y51" s="51">
        <v>5</v>
      </c>
      <c r="Z51" s="53"/>
      <c r="AA51" s="53"/>
      <c r="AB51" s="55"/>
      <c r="AC51" s="53"/>
      <c r="AD51" s="54">
        <f>+AFIRMACIONES!B276</f>
        <v>0</v>
      </c>
      <c r="AE51" s="53"/>
      <c r="AF51" s="55"/>
      <c r="AG51" s="53"/>
      <c r="AH51" s="53"/>
    </row>
    <row r="52" spans="2:35" ht="12.75" hidden="1" customHeight="1" x14ac:dyDescent="0.25">
      <c r="B52" s="50">
        <v>50</v>
      </c>
      <c r="C52" s="51">
        <v>3</v>
      </c>
      <c r="D52" s="53"/>
      <c r="E52" s="53"/>
      <c r="F52" s="54">
        <f>+AFIRMACIONES!B79</f>
        <v>0</v>
      </c>
      <c r="G52" s="53"/>
      <c r="H52" s="53"/>
      <c r="I52" s="53"/>
      <c r="J52" s="53"/>
      <c r="K52" s="53"/>
      <c r="L52" s="53"/>
      <c r="M52" s="50">
        <v>149</v>
      </c>
      <c r="N52" s="51">
        <v>2</v>
      </c>
      <c r="O52" s="53"/>
      <c r="P52" s="54">
        <f>+AFIRMACIONES!B178</f>
        <v>0</v>
      </c>
      <c r="Q52" s="52"/>
      <c r="R52" s="53"/>
      <c r="S52" s="53"/>
      <c r="T52" s="53"/>
      <c r="U52" s="53"/>
      <c r="V52" s="53"/>
      <c r="W52" s="52"/>
      <c r="X52" s="50">
        <v>248</v>
      </c>
      <c r="Y52" s="51">
        <v>9</v>
      </c>
      <c r="Z52" s="53"/>
      <c r="AA52" s="53"/>
      <c r="AB52" s="55"/>
      <c r="AC52" s="53"/>
      <c r="AD52" s="53"/>
      <c r="AE52" s="53"/>
      <c r="AF52" s="55"/>
      <c r="AG52" s="53"/>
      <c r="AH52" s="54">
        <f>+AFIRMACIONES!B277</f>
        <v>0</v>
      </c>
    </row>
    <row r="53" spans="2:35" ht="12.75" hidden="1" customHeight="1" x14ac:dyDescent="0.25">
      <c r="B53" s="50">
        <v>51</v>
      </c>
      <c r="C53" s="51">
        <v>4</v>
      </c>
      <c r="D53" s="53"/>
      <c r="E53" s="53"/>
      <c r="F53" s="53"/>
      <c r="G53" s="54">
        <f>+AFIRMACIONES!B80</f>
        <v>0</v>
      </c>
      <c r="H53" s="53"/>
      <c r="I53" s="53"/>
      <c r="J53" s="52"/>
      <c r="K53" s="53"/>
      <c r="L53" s="53"/>
      <c r="M53" s="50">
        <v>150</v>
      </c>
      <c r="N53" s="51">
        <v>5</v>
      </c>
      <c r="O53" s="53"/>
      <c r="P53" s="53"/>
      <c r="Q53" s="52"/>
      <c r="R53" s="53"/>
      <c r="S53" s="54">
        <f>+AFIRMACIONES!B179</f>
        <v>0</v>
      </c>
      <c r="T53" s="53"/>
      <c r="U53" s="52"/>
      <c r="V53" s="53"/>
      <c r="W53" s="52"/>
      <c r="X53" s="50">
        <v>249</v>
      </c>
      <c r="Y53" s="51">
        <v>6</v>
      </c>
      <c r="Z53" s="53"/>
      <c r="AA53" s="53"/>
      <c r="AB53" s="55"/>
      <c r="AC53" s="53"/>
      <c r="AD53" s="53"/>
      <c r="AE53" s="54">
        <f>+AFIRMACIONES!B278</f>
        <v>0</v>
      </c>
      <c r="AF53" s="55"/>
      <c r="AG53" s="53"/>
      <c r="AH53" s="53"/>
    </row>
    <row r="54" spans="2:35" ht="12.75" hidden="1" customHeight="1" x14ac:dyDescent="0.25">
      <c r="B54" s="50">
        <v>52</v>
      </c>
      <c r="C54" s="51">
        <v>7</v>
      </c>
      <c r="D54" s="52"/>
      <c r="E54" s="53"/>
      <c r="F54" s="53"/>
      <c r="G54" s="53"/>
      <c r="H54" s="53"/>
      <c r="I54" s="53"/>
      <c r="J54" s="54">
        <f>+AFIRMACIONES!B81</f>
        <v>0</v>
      </c>
      <c r="K54" s="53"/>
      <c r="L54" s="53"/>
      <c r="M54" s="50">
        <v>151</v>
      </c>
      <c r="N54" s="51">
        <v>3</v>
      </c>
      <c r="O54" s="53"/>
      <c r="P54" s="52"/>
      <c r="Q54" s="54">
        <f>+AFIRMACIONES!B180</f>
        <v>0</v>
      </c>
      <c r="R54" s="53"/>
      <c r="S54" s="53"/>
      <c r="T54" s="53"/>
      <c r="U54" s="53"/>
      <c r="V54" s="53"/>
      <c r="W54" s="52"/>
      <c r="X54" s="50">
        <v>250</v>
      </c>
      <c r="Y54" s="51">
        <v>4</v>
      </c>
      <c r="Z54" s="52"/>
      <c r="AA54" s="53"/>
      <c r="AB54" s="55"/>
      <c r="AC54" s="54">
        <f>+AFIRMACIONES!B279</f>
        <v>0</v>
      </c>
      <c r="AD54" s="53"/>
      <c r="AE54" s="53"/>
      <c r="AF54" s="55"/>
      <c r="AG54" s="53"/>
      <c r="AH54" s="53"/>
    </row>
    <row r="55" spans="2:35" ht="12.75" hidden="1" customHeight="1" x14ac:dyDescent="0.25">
      <c r="B55" s="50">
        <v>53</v>
      </c>
      <c r="C55" s="51">
        <v>1</v>
      </c>
      <c r="D55" s="54">
        <f>+AFIRMACIONES!B82</f>
        <v>0</v>
      </c>
      <c r="E55" s="53"/>
      <c r="F55" s="53"/>
      <c r="G55" s="52"/>
      <c r="H55" s="53"/>
      <c r="I55" s="53"/>
      <c r="J55" s="53"/>
      <c r="K55" s="53"/>
      <c r="L55" s="53"/>
      <c r="M55" s="50">
        <v>152</v>
      </c>
      <c r="N55" s="51">
        <v>1</v>
      </c>
      <c r="O55" s="54">
        <f>+AFIRMACIONES!B181</f>
        <v>0</v>
      </c>
      <c r="P55" s="53"/>
      <c r="Q55" s="53"/>
      <c r="R55" s="52"/>
      <c r="S55" s="52"/>
      <c r="T55" s="53"/>
      <c r="U55" s="53"/>
      <c r="V55" s="53"/>
      <c r="W55" s="52"/>
      <c r="X55" s="50">
        <v>251</v>
      </c>
      <c r="Y55" s="51">
        <v>7</v>
      </c>
      <c r="Z55" s="53"/>
      <c r="AA55" s="53"/>
      <c r="AB55" s="55"/>
      <c r="AC55" s="52"/>
      <c r="AD55" s="53"/>
      <c r="AE55" s="52"/>
      <c r="AF55" s="54">
        <f>+AFIRMACIONES!B280</f>
        <v>0</v>
      </c>
      <c r="AG55" s="53"/>
      <c r="AH55" s="53"/>
    </row>
    <row r="56" spans="2:35" ht="12.75" hidden="1" customHeight="1" x14ac:dyDescent="0.25">
      <c r="B56" s="50">
        <v>54</v>
      </c>
      <c r="C56" s="51">
        <v>6</v>
      </c>
      <c r="D56" s="53"/>
      <c r="E56" s="53"/>
      <c r="F56" s="53"/>
      <c r="G56" s="53"/>
      <c r="H56" s="53"/>
      <c r="I56" s="54">
        <f>+AFIRMACIONES!B83</f>
        <v>0</v>
      </c>
      <c r="J56" s="53"/>
      <c r="K56" s="53"/>
      <c r="L56" s="53"/>
      <c r="M56" s="50">
        <v>153</v>
      </c>
      <c r="N56" s="51">
        <v>8</v>
      </c>
      <c r="O56" s="53"/>
      <c r="P56" s="53"/>
      <c r="Q56" s="53"/>
      <c r="R56" s="53"/>
      <c r="S56" s="53"/>
      <c r="T56" s="53"/>
      <c r="U56" s="53"/>
      <c r="V56" s="54">
        <f>+AFIRMACIONES!B182</f>
        <v>0</v>
      </c>
      <c r="W56" s="52"/>
      <c r="X56" s="50">
        <v>252</v>
      </c>
      <c r="Y56" s="51">
        <v>2</v>
      </c>
      <c r="Z56" s="53"/>
      <c r="AA56" s="54">
        <f>+AFIRMACIONES!B281</f>
        <v>0</v>
      </c>
      <c r="AB56" s="56"/>
      <c r="AC56" s="53"/>
      <c r="AD56" s="53"/>
      <c r="AE56" s="53"/>
      <c r="AF56" s="55"/>
      <c r="AG56" s="53"/>
      <c r="AH56" s="53"/>
    </row>
    <row r="57" spans="2:35" ht="12.75" hidden="1" customHeight="1" x14ac:dyDescent="0.25">
      <c r="B57" s="50">
        <v>55</v>
      </c>
      <c r="C57" s="51">
        <v>2</v>
      </c>
      <c r="D57" s="52"/>
      <c r="E57" s="54">
        <f>+AFIRMACIONES!B84</f>
        <v>0</v>
      </c>
      <c r="F57" s="53"/>
      <c r="G57" s="53"/>
      <c r="H57" s="52"/>
      <c r="I57" s="53"/>
      <c r="J57" s="53"/>
      <c r="K57" s="53"/>
      <c r="L57" s="53"/>
      <c r="M57" s="50">
        <v>154</v>
      </c>
      <c r="N57" s="51">
        <v>3</v>
      </c>
      <c r="O57" s="52"/>
      <c r="P57" s="53"/>
      <c r="Q57" s="54">
        <f>+AFIRMACIONES!B183</f>
        <v>0</v>
      </c>
      <c r="R57" s="53"/>
      <c r="S57" s="53"/>
      <c r="T57" s="53"/>
      <c r="U57" s="53"/>
      <c r="V57" s="53"/>
      <c r="W57" s="52"/>
      <c r="X57" s="50">
        <v>253</v>
      </c>
      <c r="Y57" s="51">
        <v>8</v>
      </c>
      <c r="Z57" s="53"/>
      <c r="AA57" s="53"/>
      <c r="AB57" s="55"/>
      <c r="AC57" s="53"/>
      <c r="AD57" s="53"/>
      <c r="AE57" s="52"/>
      <c r="AF57" s="55"/>
      <c r="AG57" s="54">
        <f>+AFIRMACIONES!B282</f>
        <v>0</v>
      </c>
      <c r="AH57" s="53"/>
    </row>
    <row r="58" spans="2:35" ht="12.75" hidden="1" customHeight="1" x14ac:dyDescent="0.25">
      <c r="B58" s="50">
        <v>56</v>
      </c>
      <c r="C58" s="51">
        <v>7</v>
      </c>
      <c r="D58" s="53"/>
      <c r="E58" s="53"/>
      <c r="F58" s="53"/>
      <c r="G58" s="53"/>
      <c r="H58" s="53"/>
      <c r="I58" s="53"/>
      <c r="J58" s="54">
        <f>+AFIRMACIONES!B85</f>
        <v>0</v>
      </c>
      <c r="K58" s="53"/>
      <c r="L58" s="52"/>
      <c r="M58" s="50">
        <v>155</v>
      </c>
      <c r="N58" s="51">
        <v>6</v>
      </c>
      <c r="O58" s="53"/>
      <c r="P58" s="53"/>
      <c r="Q58" s="53"/>
      <c r="R58" s="53"/>
      <c r="S58" s="53"/>
      <c r="T58" s="54">
        <f>+AFIRMACIONES!B184</f>
        <v>0</v>
      </c>
      <c r="U58" s="53"/>
      <c r="V58" s="52"/>
      <c r="W58" s="52"/>
      <c r="X58" s="50">
        <v>254</v>
      </c>
      <c r="Y58" s="51">
        <v>5</v>
      </c>
      <c r="Z58" s="53"/>
      <c r="AA58" s="53"/>
      <c r="AB58" s="55"/>
      <c r="AC58" s="53"/>
      <c r="AD58" s="54">
        <f>+AFIRMACIONES!B283</f>
        <v>0</v>
      </c>
      <c r="AE58" s="53"/>
      <c r="AF58" s="55"/>
      <c r="AG58" s="53"/>
      <c r="AH58" s="53"/>
    </row>
    <row r="59" spans="2:35" ht="12.75" hidden="1" customHeight="1" x14ac:dyDescent="0.25">
      <c r="B59" s="50">
        <v>57</v>
      </c>
      <c r="C59" s="51">
        <v>3</v>
      </c>
      <c r="D59" s="53"/>
      <c r="E59" s="53"/>
      <c r="F59" s="54">
        <f>+AFIRMACIONES!B86</f>
        <v>0</v>
      </c>
      <c r="G59" s="53"/>
      <c r="H59" s="53"/>
      <c r="I59" s="53"/>
      <c r="J59" s="53"/>
      <c r="K59" s="53"/>
      <c r="L59" s="53"/>
      <c r="M59" s="50">
        <v>156</v>
      </c>
      <c r="N59" s="51">
        <v>2</v>
      </c>
      <c r="O59" s="53"/>
      <c r="P59" s="54">
        <f>+AFIRMACIONES!B185</f>
        <v>0</v>
      </c>
      <c r="Q59" s="53"/>
      <c r="R59" s="53"/>
      <c r="S59" s="53"/>
      <c r="T59" s="53"/>
      <c r="U59" s="53"/>
      <c r="V59" s="53"/>
      <c r="W59" s="52"/>
      <c r="X59" s="50">
        <v>255</v>
      </c>
      <c r="Y59" s="51">
        <v>1</v>
      </c>
      <c r="Z59" s="54">
        <f>+AFIRMACIONES!B284</f>
        <v>0</v>
      </c>
      <c r="AA59" s="53"/>
      <c r="AB59" s="55"/>
      <c r="AC59" s="53"/>
      <c r="AD59" s="53"/>
      <c r="AE59" s="53"/>
      <c r="AF59" s="55"/>
      <c r="AG59" s="53"/>
      <c r="AH59" s="53"/>
    </row>
    <row r="60" spans="2:35" ht="12.75" hidden="1" customHeight="1" x14ac:dyDescent="0.25">
      <c r="B60" s="50">
        <v>58</v>
      </c>
      <c r="C60" s="51">
        <v>5</v>
      </c>
      <c r="D60" s="53"/>
      <c r="E60" s="53"/>
      <c r="F60" s="53"/>
      <c r="G60" s="52"/>
      <c r="H60" s="54">
        <f>+AFIRMACIONES!B87</f>
        <v>0</v>
      </c>
      <c r="I60" s="53"/>
      <c r="J60" s="53"/>
      <c r="K60" s="53"/>
      <c r="L60" s="53"/>
      <c r="M60" s="50">
        <v>157</v>
      </c>
      <c r="N60" s="51">
        <v>5</v>
      </c>
      <c r="O60" s="53"/>
      <c r="P60" s="53"/>
      <c r="Q60" s="53"/>
      <c r="R60" s="53"/>
      <c r="S60" s="54">
        <f>+AFIRMACIONES!B186</f>
        <v>0</v>
      </c>
      <c r="T60" s="53"/>
      <c r="U60" s="52"/>
      <c r="V60" s="53"/>
      <c r="W60" s="52"/>
      <c r="X60" s="50">
        <v>256</v>
      </c>
      <c r="Y60" s="51">
        <v>3</v>
      </c>
      <c r="Z60" s="53"/>
      <c r="AA60" s="53"/>
      <c r="AB60" s="54">
        <f>+AFIRMACIONES!B285</f>
        <v>0</v>
      </c>
      <c r="AC60" s="53"/>
      <c r="AD60" s="52"/>
      <c r="AE60" s="53"/>
      <c r="AF60" s="55"/>
      <c r="AG60" s="53"/>
      <c r="AH60" s="53"/>
    </row>
    <row r="61" spans="2:35" ht="12.75" hidden="1" customHeight="1" x14ac:dyDescent="0.25">
      <c r="B61" s="50">
        <v>59</v>
      </c>
      <c r="C61" s="51">
        <v>4</v>
      </c>
      <c r="D61" s="53"/>
      <c r="E61" s="53"/>
      <c r="F61" s="53"/>
      <c r="G61" s="54">
        <f>+AFIRMACIONES!B88</f>
        <v>0</v>
      </c>
      <c r="H61" s="53"/>
      <c r="I61" s="53"/>
      <c r="J61" s="52"/>
      <c r="K61" s="53"/>
      <c r="L61" s="53"/>
      <c r="M61" s="50">
        <v>158</v>
      </c>
      <c r="N61" s="51">
        <v>4</v>
      </c>
      <c r="O61" s="53"/>
      <c r="P61" s="53"/>
      <c r="Q61" s="52"/>
      <c r="R61" s="54">
        <f>+AFIRMACIONES!B187</f>
        <v>0</v>
      </c>
      <c r="S61" s="53"/>
      <c r="T61" s="53"/>
      <c r="U61" s="53"/>
      <c r="V61" s="53"/>
      <c r="W61" s="52"/>
      <c r="X61" s="50">
        <v>257</v>
      </c>
      <c r="Y61" s="51">
        <v>9</v>
      </c>
      <c r="Z61" s="53"/>
      <c r="AA61" s="53"/>
      <c r="AB61" s="55"/>
      <c r="AC61" s="53"/>
      <c r="AD61" s="53"/>
      <c r="AE61" s="53"/>
      <c r="AF61" s="55"/>
      <c r="AG61" s="53"/>
      <c r="AH61" s="54">
        <f>+AFIRMACIONES!B286</f>
        <v>0</v>
      </c>
    </row>
    <row r="62" spans="2:35" ht="12.75" hidden="1" customHeight="1" x14ac:dyDescent="0.25">
      <c r="B62" s="50">
        <v>60</v>
      </c>
      <c r="C62" s="51">
        <v>6</v>
      </c>
      <c r="D62" s="53"/>
      <c r="E62" s="52"/>
      <c r="F62" s="53"/>
      <c r="G62" s="53"/>
      <c r="H62" s="53"/>
      <c r="I62" s="54">
        <f>+AFIRMACIONES!B89</f>
        <v>0</v>
      </c>
      <c r="J62" s="53"/>
      <c r="K62" s="53"/>
      <c r="L62" s="53"/>
      <c r="M62" s="50">
        <v>159</v>
      </c>
      <c r="N62" s="51">
        <v>1</v>
      </c>
      <c r="O62" s="54">
        <f>+AFIRMACIONES!B188</f>
        <v>0</v>
      </c>
      <c r="P62" s="53"/>
      <c r="Q62" s="53"/>
      <c r="R62" s="52"/>
      <c r="S62" s="53"/>
      <c r="T62" s="53"/>
      <c r="U62" s="53"/>
      <c r="V62" s="53"/>
      <c r="W62" s="52"/>
      <c r="X62" s="50">
        <v>258</v>
      </c>
      <c r="Y62" s="51">
        <v>2</v>
      </c>
      <c r="Z62" s="53"/>
      <c r="AA62" s="54">
        <f>+AFIRMACIONES!B287</f>
        <v>0</v>
      </c>
      <c r="AB62" s="55"/>
      <c r="AC62" s="53"/>
      <c r="AD62" s="53"/>
      <c r="AE62" s="52"/>
      <c r="AF62" s="55"/>
      <c r="AG62" s="53"/>
      <c r="AH62" s="53"/>
      <c r="AI62" s="57"/>
    </row>
    <row r="63" spans="2:35" ht="12.75" hidden="1" customHeight="1" x14ac:dyDescent="0.25">
      <c r="B63" s="50">
        <v>61</v>
      </c>
      <c r="C63" s="51">
        <v>8</v>
      </c>
      <c r="D63" s="53"/>
      <c r="E63" s="52"/>
      <c r="F63" s="53"/>
      <c r="G63" s="53"/>
      <c r="H63" s="53"/>
      <c r="I63" s="53"/>
      <c r="J63" s="53"/>
      <c r="K63" s="54">
        <f>+AFIRMACIONES!B90</f>
        <v>0</v>
      </c>
      <c r="L63" s="53"/>
      <c r="M63" s="50">
        <v>160</v>
      </c>
      <c r="N63" s="51">
        <v>7</v>
      </c>
      <c r="O63" s="53"/>
      <c r="P63" s="53"/>
      <c r="Q63" s="53"/>
      <c r="R63" s="53"/>
      <c r="S63" s="53"/>
      <c r="T63" s="52"/>
      <c r="U63" s="54">
        <f>+AFIRMACIONES!B189</f>
        <v>0</v>
      </c>
      <c r="V63" s="53"/>
      <c r="W63" s="52"/>
      <c r="X63" s="50">
        <v>259</v>
      </c>
      <c r="Y63" s="51">
        <v>6</v>
      </c>
      <c r="Z63" s="53"/>
      <c r="AA63" s="53"/>
      <c r="AB63" s="55"/>
      <c r="AC63" s="53"/>
      <c r="AD63" s="53"/>
      <c r="AE63" s="54">
        <f>+AFIRMACIONES!B288</f>
        <v>0</v>
      </c>
      <c r="AF63" s="55"/>
      <c r="AG63" s="53"/>
      <c r="AH63" s="53"/>
      <c r="AI63" s="57"/>
    </row>
    <row r="64" spans="2:35" ht="12.75" hidden="1" customHeight="1" x14ac:dyDescent="0.25">
      <c r="B64" s="50">
        <v>62</v>
      </c>
      <c r="C64" s="51">
        <v>1</v>
      </c>
      <c r="D64" s="54">
        <f>+AFIRMACIONES!B91</f>
        <v>0</v>
      </c>
      <c r="E64" s="53"/>
      <c r="F64" s="52"/>
      <c r="G64" s="53"/>
      <c r="H64" s="53"/>
      <c r="I64" s="53"/>
      <c r="J64" s="53"/>
      <c r="K64" s="53"/>
      <c r="L64" s="53"/>
      <c r="M64" s="50">
        <v>161</v>
      </c>
      <c r="N64" s="51">
        <v>9</v>
      </c>
      <c r="O64" s="53"/>
      <c r="P64" s="53"/>
      <c r="Q64" s="53"/>
      <c r="R64" s="53"/>
      <c r="S64" s="53"/>
      <c r="T64" s="53"/>
      <c r="U64" s="53"/>
      <c r="V64" s="53"/>
      <c r="W64" s="54">
        <f>+AFIRMACIONES!B190</f>
        <v>0</v>
      </c>
      <c r="X64" s="50">
        <v>260</v>
      </c>
      <c r="Y64" s="51">
        <v>7</v>
      </c>
      <c r="Z64" s="53"/>
      <c r="AA64" s="53"/>
      <c r="AB64" s="55"/>
      <c r="AC64" s="53"/>
      <c r="AD64" s="53"/>
      <c r="AE64" s="53"/>
      <c r="AF64" s="54">
        <f>+AFIRMACIONES!B289</f>
        <v>0</v>
      </c>
      <c r="AG64" s="53"/>
      <c r="AH64" s="53"/>
      <c r="AI64" s="58"/>
    </row>
    <row r="65" spans="2:35" ht="12.75" hidden="1" customHeight="1" x14ac:dyDescent="0.25">
      <c r="B65" s="50">
        <v>63</v>
      </c>
      <c r="C65" s="51">
        <v>9</v>
      </c>
      <c r="D65" s="53"/>
      <c r="E65" s="53"/>
      <c r="F65" s="53"/>
      <c r="G65" s="53"/>
      <c r="H65" s="53"/>
      <c r="I65" s="53"/>
      <c r="J65" s="52"/>
      <c r="K65" s="53"/>
      <c r="L65" s="54">
        <f>+AFIRMACIONES!B92</f>
        <v>0</v>
      </c>
      <c r="M65" s="50">
        <v>162</v>
      </c>
      <c r="N65" s="51">
        <v>8</v>
      </c>
      <c r="O65" s="53"/>
      <c r="P65" s="53"/>
      <c r="Q65" s="53"/>
      <c r="R65" s="53"/>
      <c r="S65" s="53"/>
      <c r="T65" s="52"/>
      <c r="U65" s="53"/>
      <c r="V65" s="54">
        <f>+AFIRMACIONES!B191</f>
        <v>0</v>
      </c>
      <c r="W65" s="52"/>
      <c r="X65" s="50">
        <v>261</v>
      </c>
      <c r="Y65" s="51">
        <v>4</v>
      </c>
      <c r="Z65" s="53"/>
      <c r="AA65" s="53"/>
      <c r="AB65" s="55"/>
      <c r="AC65" s="54">
        <f>+AFIRMACIONES!B290</f>
        <v>0</v>
      </c>
      <c r="AD65" s="52"/>
      <c r="AE65" s="52"/>
      <c r="AF65" s="55"/>
      <c r="AG65" s="53"/>
      <c r="AH65" s="53"/>
      <c r="AI65" s="57"/>
    </row>
    <row r="66" spans="2:35" ht="12.75" hidden="1" customHeight="1" x14ac:dyDescent="0.25">
      <c r="B66" s="50">
        <v>64</v>
      </c>
      <c r="C66" s="51">
        <v>2</v>
      </c>
      <c r="D66" s="52"/>
      <c r="E66" s="54">
        <f>+AFIRMACIONES!B93</f>
        <v>0</v>
      </c>
      <c r="F66" s="53"/>
      <c r="G66" s="53"/>
      <c r="H66" s="53"/>
      <c r="I66" s="53"/>
      <c r="J66" s="53"/>
      <c r="K66" s="52"/>
      <c r="L66" s="53"/>
      <c r="M66" s="50">
        <v>163</v>
      </c>
      <c r="N66" s="51">
        <v>6</v>
      </c>
      <c r="O66" s="53"/>
      <c r="P66" s="53"/>
      <c r="Q66" s="53"/>
      <c r="R66" s="53"/>
      <c r="S66" s="52"/>
      <c r="T66" s="54">
        <f>+AFIRMACIONES!B192</f>
        <v>0</v>
      </c>
      <c r="U66" s="53"/>
      <c r="V66" s="53"/>
      <c r="W66" s="52"/>
      <c r="X66" s="50">
        <v>262</v>
      </c>
      <c r="Y66" s="51">
        <v>8</v>
      </c>
      <c r="Z66" s="53"/>
      <c r="AA66" s="53"/>
      <c r="AB66" s="55"/>
      <c r="AC66" s="53"/>
      <c r="AD66" s="53"/>
      <c r="AE66" s="52"/>
      <c r="AF66" s="55"/>
      <c r="AG66" s="54">
        <f>+AFIRMACIONES!B291</f>
        <v>0</v>
      </c>
      <c r="AH66" s="53"/>
      <c r="AI66" s="57"/>
    </row>
    <row r="67" spans="2:35" ht="12.75" hidden="1" customHeight="1" x14ac:dyDescent="0.25">
      <c r="B67" s="50">
        <v>65</v>
      </c>
      <c r="C67" s="51">
        <v>4</v>
      </c>
      <c r="D67" s="53"/>
      <c r="E67" s="53"/>
      <c r="F67" s="52"/>
      <c r="G67" s="54">
        <f>+AFIRMACIONES!B94</f>
        <v>0</v>
      </c>
      <c r="H67" s="53"/>
      <c r="I67" s="53"/>
      <c r="J67" s="53"/>
      <c r="K67" s="53"/>
      <c r="L67" s="53"/>
      <c r="M67" s="50">
        <v>164</v>
      </c>
      <c r="N67" s="51">
        <v>5</v>
      </c>
      <c r="O67" s="53"/>
      <c r="P67" s="53"/>
      <c r="Q67" s="53"/>
      <c r="R67" s="53"/>
      <c r="S67" s="54">
        <f>+AFIRMACIONES!B193</f>
        <v>0</v>
      </c>
      <c r="T67" s="53"/>
      <c r="U67" s="52"/>
      <c r="V67" s="53"/>
      <c r="W67" s="52"/>
      <c r="X67" s="50">
        <v>263</v>
      </c>
      <c r="Y67" s="51">
        <v>3</v>
      </c>
      <c r="Z67" s="53"/>
      <c r="AA67" s="53"/>
      <c r="AB67" s="54">
        <f>+AFIRMACIONES!B292</f>
        <v>0</v>
      </c>
      <c r="AC67" s="53"/>
      <c r="AD67" s="53"/>
      <c r="AE67" s="53"/>
      <c r="AF67" s="55"/>
      <c r="AG67" s="53"/>
      <c r="AH67" s="53"/>
      <c r="AI67" s="57"/>
    </row>
    <row r="68" spans="2:35" ht="12.75" hidden="1" customHeight="1" x14ac:dyDescent="0.25">
      <c r="B68" s="50">
        <v>66</v>
      </c>
      <c r="C68" s="51">
        <v>6</v>
      </c>
      <c r="D68" s="53"/>
      <c r="E68" s="53"/>
      <c r="F68" s="53"/>
      <c r="G68" s="53"/>
      <c r="H68" s="53"/>
      <c r="I68" s="54">
        <f>+AFIRMACIONES!B95</f>
        <v>0</v>
      </c>
      <c r="J68" s="53"/>
      <c r="K68" s="53"/>
      <c r="L68" s="52"/>
      <c r="M68" s="50">
        <v>165</v>
      </c>
      <c r="N68" s="51">
        <v>9</v>
      </c>
      <c r="O68" s="53"/>
      <c r="P68" s="53"/>
      <c r="Q68" s="53"/>
      <c r="R68" s="53"/>
      <c r="S68" s="53"/>
      <c r="T68" s="53"/>
      <c r="U68" s="53"/>
      <c r="V68" s="53"/>
      <c r="W68" s="54">
        <f>+AFIRMACIONES!B194</f>
        <v>0</v>
      </c>
      <c r="X68" s="50">
        <v>264</v>
      </c>
      <c r="Y68" s="51">
        <v>5</v>
      </c>
      <c r="Z68" s="53"/>
      <c r="AA68" s="53"/>
      <c r="AB68" s="55"/>
      <c r="AC68" s="52"/>
      <c r="AD68" s="54">
        <f>+AFIRMACIONES!$B293</f>
        <v>0</v>
      </c>
      <c r="AE68" s="53"/>
      <c r="AF68" s="55"/>
      <c r="AG68" s="53"/>
      <c r="AH68" s="53"/>
      <c r="AI68" s="57"/>
    </row>
    <row r="69" spans="2:35" ht="12.75" hidden="1" customHeight="1" x14ac:dyDescent="0.25">
      <c r="B69" s="50">
        <v>67</v>
      </c>
      <c r="C69" s="51">
        <v>5</v>
      </c>
      <c r="D69" s="53"/>
      <c r="E69" s="53"/>
      <c r="F69" s="53"/>
      <c r="G69" s="53"/>
      <c r="H69" s="54">
        <f>+AFIRMACIONES!B96</f>
        <v>0</v>
      </c>
      <c r="I69" s="53"/>
      <c r="J69" s="53"/>
      <c r="K69" s="53"/>
      <c r="L69" s="52"/>
      <c r="M69" s="50">
        <v>166</v>
      </c>
      <c r="N69" s="51">
        <v>7</v>
      </c>
      <c r="O69" s="53"/>
      <c r="P69" s="53"/>
      <c r="Q69" s="53"/>
      <c r="R69" s="53"/>
      <c r="S69" s="53"/>
      <c r="T69" s="53"/>
      <c r="U69" s="54">
        <f>+AFIRMACIONES!B195</f>
        <v>0</v>
      </c>
      <c r="V69" s="52"/>
      <c r="W69" s="52"/>
      <c r="X69" s="50">
        <v>265</v>
      </c>
      <c r="Y69" s="51">
        <v>7</v>
      </c>
      <c r="Z69" s="52"/>
      <c r="AA69" s="53"/>
      <c r="AB69" s="55"/>
      <c r="AC69" s="53"/>
      <c r="AD69" s="53"/>
      <c r="AE69" s="53"/>
      <c r="AF69" s="54">
        <f>+AFIRMACIONES!B294</f>
        <v>0</v>
      </c>
      <c r="AG69" s="53"/>
      <c r="AH69" s="53"/>
      <c r="AI69" s="45"/>
    </row>
    <row r="70" spans="2:35" ht="12.75" hidden="1" customHeight="1" x14ac:dyDescent="0.25">
      <c r="B70" s="50">
        <v>68</v>
      </c>
      <c r="C70" s="51">
        <v>9</v>
      </c>
      <c r="D70" s="52"/>
      <c r="E70" s="53"/>
      <c r="F70" s="53"/>
      <c r="G70" s="53"/>
      <c r="H70" s="53"/>
      <c r="I70" s="53"/>
      <c r="J70" s="53"/>
      <c r="K70" s="53"/>
      <c r="L70" s="54">
        <f>+AFIRMACIONES!B97</f>
        <v>0</v>
      </c>
      <c r="M70" s="50">
        <v>167</v>
      </c>
      <c r="N70" s="51">
        <v>4</v>
      </c>
      <c r="O70" s="52"/>
      <c r="P70" s="53"/>
      <c r="Q70" s="53"/>
      <c r="R70" s="54">
        <f>+AFIRMACIONES!B196</f>
        <v>0</v>
      </c>
      <c r="S70" s="53"/>
      <c r="T70" s="53"/>
      <c r="U70" s="53"/>
      <c r="V70" s="53"/>
      <c r="W70" s="52"/>
      <c r="X70" s="50">
        <v>266</v>
      </c>
      <c r="Y70" s="51">
        <v>9</v>
      </c>
      <c r="Z70" s="53"/>
      <c r="AA70" s="53"/>
      <c r="AB70" s="55"/>
      <c r="AC70" s="53"/>
      <c r="AD70" s="53"/>
      <c r="AE70" s="52"/>
      <c r="AF70" s="55"/>
      <c r="AG70" s="53"/>
      <c r="AH70" s="54">
        <f>+AFIRMACIONES!B295</f>
        <v>0</v>
      </c>
      <c r="AI70" s="58"/>
    </row>
    <row r="71" spans="2:35" ht="12.75" hidden="1" customHeight="1" x14ac:dyDescent="0.25">
      <c r="B71" s="50">
        <v>69</v>
      </c>
      <c r="C71" s="51">
        <v>3</v>
      </c>
      <c r="D71" s="53"/>
      <c r="E71" s="53"/>
      <c r="F71" s="54">
        <f>+AFIRMACIONES!B98</f>
        <v>0</v>
      </c>
      <c r="G71" s="53"/>
      <c r="H71" s="53"/>
      <c r="I71" s="53"/>
      <c r="J71" s="52"/>
      <c r="K71" s="53"/>
      <c r="L71" s="53"/>
      <c r="M71" s="50">
        <v>168</v>
      </c>
      <c r="N71" s="51">
        <v>1</v>
      </c>
      <c r="O71" s="54">
        <f>+AFIRMACIONES!B197</f>
        <v>0</v>
      </c>
      <c r="P71" s="52"/>
      <c r="Q71" s="53"/>
      <c r="R71" s="53"/>
      <c r="S71" s="53"/>
      <c r="T71" s="53"/>
      <c r="U71" s="53"/>
      <c r="V71" s="53"/>
      <c r="W71" s="52"/>
      <c r="X71" s="50">
        <v>267</v>
      </c>
      <c r="Y71" s="51">
        <v>4</v>
      </c>
      <c r="Z71" s="53"/>
      <c r="AA71" s="53"/>
      <c r="AB71" s="55"/>
      <c r="AC71" s="54">
        <f>+AFIRMACIONES!B296</f>
        <v>0</v>
      </c>
      <c r="AD71" s="52"/>
      <c r="AE71" s="53"/>
      <c r="AF71" s="55"/>
      <c r="AG71" s="53"/>
      <c r="AH71" s="53"/>
      <c r="AI71" s="59"/>
    </row>
    <row r="72" spans="2:35" ht="12.75" hidden="1" customHeight="1" x14ac:dyDescent="0.25">
      <c r="B72" s="50">
        <v>70</v>
      </c>
      <c r="C72" s="51">
        <v>1</v>
      </c>
      <c r="D72" s="54">
        <f>+AFIRMACIONES!B99</f>
        <v>0</v>
      </c>
      <c r="E72" s="53"/>
      <c r="F72" s="53"/>
      <c r="G72" s="53"/>
      <c r="H72" s="53"/>
      <c r="I72" s="53"/>
      <c r="J72" s="52"/>
      <c r="K72" s="53"/>
      <c r="L72" s="53"/>
      <c r="M72" s="50">
        <v>169</v>
      </c>
      <c r="N72" s="51">
        <v>3</v>
      </c>
      <c r="O72" s="53"/>
      <c r="P72" s="52"/>
      <c r="Q72" s="54">
        <f>+AFIRMACIONES!B198</f>
        <v>0</v>
      </c>
      <c r="R72" s="53"/>
      <c r="S72" s="53"/>
      <c r="T72" s="53"/>
      <c r="U72" s="53"/>
      <c r="V72" s="53"/>
      <c r="W72" s="52"/>
      <c r="X72" s="50">
        <v>268</v>
      </c>
      <c r="Y72" s="51">
        <v>1</v>
      </c>
      <c r="Z72" s="54">
        <f>+AFIRMACIONES!B297</f>
        <v>0</v>
      </c>
      <c r="AA72" s="53"/>
      <c r="AB72" s="55"/>
      <c r="AC72" s="53"/>
      <c r="AD72" s="53"/>
      <c r="AE72" s="53"/>
      <c r="AF72" s="55"/>
      <c r="AG72" s="53"/>
      <c r="AH72" s="53"/>
      <c r="AI72" s="59"/>
    </row>
    <row r="73" spans="2:35" ht="12.75" hidden="1" customHeight="1" x14ac:dyDescent="0.25">
      <c r="B73" s="50">
        <v>71</v>
      </c>
      <c r="C73" s="51">
        <v>7</v>
      </c>
      <c r="D73" s="53"/>
      <c r="E73" s="53"/>
      <c r="F73" s="53"/>
      <c r="G73" s="52"/>
      <c r="H73" s="53"/>
      <c r="I73" s="53"/>
      <c r="J73" s="54">
        <f>+AFIRMACIONES!B100</f>
        <v>0</v>
      </c>
      <c r="K73" s="53"/>
      <c r="L73" s="53"/>
      <c r="M73" s="50">
        <v>170</v>
      </c>
      <c r="N73" s="51">
        <v>2</v>
      </c>
      <c r="O73" s="53"/>
      <c r="P73" s="54">
        <f>+AFIRMACIONES!B199</f>
        <v>0</v>
      </c>
      <c r="Q73" s="53"/>
      <c r="R73" s="53"/>
      <c r="S73" s="53"/>
      <c r="T73" s="53"/>
      <c r="U73" s="53"/>
      <c r="V73" s="53"/>
      <c r="W73" s="52"/>
      <c r="X73" s="50">
        <v>269</v>
      </c>
      <c r="Y73" s="51">
        <v>6</v>
      </c>
      <c r="Z73" s="53"/>
      <c r="AA73" s="53"/>
      <c r="AB73" s="55"/>
      <c r="AC73" s="53"/>
      <c r="AD73" s="52"/>
      <c r="AE73" s="54">
        <f>+AFIRMACIONES!B298</f>
        <v>0</v>
      </c>
      <c r="AF73" s="55"/>
      <c r="AG73" s="53"/>
      <c r="AH73" s="53"/>
      <c r="AI73" s="59"/>
    </row>
    <row r="74" spans="2:35" ht="12.75" hidden="1" customHeight="1" x14ac:dyDescent="0.25">
      <c r="B74" s="50">
        <v>72</v>
      </c>
      <c r="C74" s="51">
        <v>8</v>
      </c>
      <c r="D74" s="53"/>
      <c r="E74" s="53"/>
      <c r="F74" s="53"/>
      <c r="G74" s="52"/>
      <c r="H74" s="53"/>
      <c r="I74" s="53"/>
      <c r="J74" s="53"/>
      <c r="K74" s="54">
        <f>+AFIRMACIONES!B101</f>
        <v>0</v>
      </c>
      <c r="L74" s="53"/>
      <c r="M74" s="50">
        <v>171</v>
      </c>
      <c r="N74" s="51">
        <v>8</v>
      </c>
      <c r="O74" s="53"/>
      <c r="P74" s="53"/>
      <c r="Q74" s="53"/>
      <c r="R74" s="52"/>
      <c r="S74" s="53"/>
      <c r="T74" s="53"/>
      <c r="U74" s="53"/>
      <c r="V74" s="54">
        <f>+AFIRMACIONES!B200</f>
        <v>0</v>
      </c>
      <c r="W74" s="52"/>
      <c r="X74" s="50">
        <v>270</v>
      </c>
      <c r="Y74" s="51">
        <v>2</v>
      </c>
      <c r="Z74" s="53"/>
      <c r="AA74" s="54">
        <f>+AFIRMACIONES!B299</f>
        <v>0</v>
      </c>
      <c r="AB74" s="56"/>
      <c r="AC74" s="53"/>
      <c r="AD74" s="53"/>
      <c r="AE74" s="53"/>
      <c r="AF74" s="55"/>
      <c r="AG74" s="53"/>
      <c r="AH74" s="53"/>
      <c r="AI74" s="18"/>
    </row>
    <row r="75" spans="2:35" ht="12.75" hidden="1" customHeight="1" x14ac:dyDescent="0.25">
      <c r="B75" s="50">
        <v>73</v>
      </c>
      <c r="C75" s="51">
        <v>1</v>
      </c>
      <c r="D75" s="54">
        <f>+AFIRMACIONES!B102</f>
        <v>0</v>
      </c>
      <c r="E75" s="53"/>
      <c r="F75" s="53"/>
      <c r="G75" s="53"/>
      <c r="H75" s="53"/>
      <c r="I75" s="53"/>
      <c r="J75" s="53"/>
      <c r="K75" s="53"/>
      <c r="L75" s="52"/>
      <c r="M75" s="50">
        <v>172</v>
      </c>
      <c r="N75" s="51">
        <v>7</v>
      </c>
      <c r="O75" s="53"/>
      <c r="P75" s="52"/>
      <c r="Q75" s="53"/>
      <c r="R75" s="53"/>
      <c r="S75" s="53"/>
      <c r="T75" s="53"/>
      <c r="U75" s="54">
        <f>+AFIRMACIONES!B201</f>
        <v>0</v>
      </c>
      <c r="V75" s="52"/>
      <c r="W75" s="52"/>
      <c r="X75" s="478" t="s">
        <v>419</v>
      </c>
      <c r="Y75" s="388"/>
      <c r="Z75" s="60">
        <f t="shared" ref="Z75:AH75" si="0">SUM(Z3:Z74)</f>
        <v>0</v>
      </c>
      <c r="AA75" s="60">
        <f t="shared" si="0"/>
        <v>0</v>
      </c>
      <c r="AB75" s="60">
        <f t="shared" si="0"/>
        <v>0</v>
      </c>
      <c r="AC75" s="60">
        <f t="shared" si="0"/>
        <v>0</v>
      </c>
      <c r="AD75" s="60">
        <f t="shared" si="0"/>
        <v>0</v>
      </c>
      <c r="AE75" s="60">
        <f t="shared" si="0"/>
        <v>0</v>
      </c>
      <c r="AF75" s="60">
        <f t="shared" si="0"/>
        <v>0</v>
      </c>
      <c r="AG75" s="60">
        <f t="shared" si="0"/>
        <v>0</v>
      </c>
      <c r="AH75" s="60">
        <f t="shared" si="0"/>
        <v>0</v>
      </c>
      <c r="AI75" s="57"/>
    </row>
    <row r="76" spans="2:35" ht="12.75" hidden="1" customHeight="1" x14ac:dyDescent="0.25">
      <c r="B76" s="50">
        <v>74</v>
      </c>
      <c r="C76" s="51">
        <v>3</v>
      </c>
      <c r="D76" s="53"/>
      <c r="E76" s="53"/>
      <c r="F76" s="54">
        <f>+AFIRMACIONES!B103</f>
        <v>0</v>
      </c>
      <c r="G76" s="53"/>
      <c r="H76" s="53"/>
      <c r="I76" s="52"/>
      <c r="J76" s="53"/>
      <c r="K76" s="53"/>
      <c r="L76" s="53"/>
      <c r="M76" s="50">
        <v>173</v>
      </c>
      <c r="N76" s="51">
        <v>6</v>
      </c>
      <c r="O76" s="53"/>
      <c r="P76" s="53"/>
      <c r="Q76" s="53"/>
      <c r="R76" s="52"/>
      <c r="S76" s="53"/>
      <c r="T76" s="54">
        <f>+AFIRMACIONES!B202</f>
        <v>0</v>
      </c>
      <c r="U76" s="53"/>
      <c r="V76" s="53"/>
      <c r="W76" s="52"/>
      <c r="X76" s="61"/>
      <c r="Y76" s="18"/>
      <c r="Z76" s="57"/>
      <c r="AA76" s="57"/>
      <c r="AB76" s="45"/>
      <c r="AC76" s="57"/>
      <c r="AD76" s="57"/>
      <c r="AE76" s="18"/>
      <c r="AF76" s="57"/>
      <c r="AG76" s="45"/>
      <c r="AH76" s="57"/>
      <c r="AI76" s="57"/>
    </row>
    <row r="77" spans="2:35" ht="12.75" hidden="1" customHeight="1" x14ac:dyDescent="0.3">
      <c r="B77" s="50">
        <v>75</v>
      </c>
      <c r="C77" s="51">
        <v>6</v>
      </c>
      <c r="D77" s="53"/>
      <c r="E77" s="53"/>
      <c r="F77" s="53"/>
      <c r="G77" s="52"/>
      <c r="H77" s="53"/>
      <c r="I77" s="54">
        <f>+AFIRMACIONES!B104</f>
        <v>0</v>
      </c>
      <c r="J77" s="53"/>
      <c r="K77" s="53"/>
      <c r="L77" s="53"/>
      <c r="M77" s="50">
        <v>174</v>
      </c>
      <c r="N77" s="51">
        <v>4</v>
      </c>
      <c r="O77" s="52"/>
      <c r="P77" s="53"/>
      <c r="Q77" s="53"/>
      <c r="R77" s="54">
        <f>+AFIRMACIONES!B203</f>
        <v>0</v>
      </c>
      <c r="S77" s="53"/>
      <c r="T77" s="53"/>
      <c r="U77" s="53"/>
      <c r="V77" s="53"/>
      <c r="W77" s="52"/>
      <c r="X77" s="61"/>
      <c r="Y77" s="18"/>
      <c r="Z77" s="473" t="s">
        <v>349</v>
      </c>
      <c r="AA77" s="361"/>
      <c r="AB77" s="361"/>
      <c r="AC77" s="361"/>
      <c r="AD77" s="361"/>
      <c r="AE77" s="361"/>
      <c r="AF77" s="361"/>
      <c r="AG77" s="361"/>
      <c r="AH77" s="388"/>
      <c r="AI77" s="57"/>
    </row>
    <row r="78" spans="2:35" ht="12.75" hidden="1" customHeight="1" x14ac:dyDescent="0.25">
      <c r="B78" s="50">
        <v>76</v>
      </c>
      <c r="C78" s="51">
        <v>9</v>
      </c>
      <c r="D78" s="52"/>
      <c r="E78" s="53"/>
      <c r="F78" s="53"/>
      <c r="G78" s="53"/>
      <c r="H78" s="53"/>
      <c r="I78" s="53"/>
      <c r="J78" s="52"/>
      <c r="K78" s="53"/>
      <c r="L78" s="54">
        <f>+AFIRMACIONES!B105</f>
        <v>0</v>
      </c>
      <c r="M78" s="50">
        <v>175</v>
      </c>
      <c r="N78" s="51">
        <v>9</v>
      </c>
      <c r="O78" s="53"/>
      <c r="P78" s="53"/>
      <c r="Q78" s="53"/>
      <c r="R78" s="53"/>
      <c r="S78" s="53"/>
      <c r="T78" s="53"/>
      <c r="U78" s="52"/>
      <c r="V78" s="53"/>
      <c r="W78" s="54">
        <f>+AFIRMACIONES!B204</f>
        <v>0</v>
      </c>
      <c r="X78" s="61"/>
      <c r="Y78" s="18"/>
      <c r="Z78" s="46">
        <v>1</v>
      </c>
      <c r="AA78" s="46">
        <v>2</v>
      </c>
      <c r="AB78" s="46">
        <v>3</v>
      </c>
      <c r="AC78" s="62">
        <v>4</v>
      </c>
      <c r="AD78" s="63">
        <v>5</v>
      </c>
      <c r="AE78" s="46">
        <v>6</v>
      </c>
      <c r="AF78" s="46">
        <v>7</v>
      </c>
      <c r="AG78" s="46">
        <v>8</v>
      </c>
      <c r="AH78" s="46">
        <v>9</v>
      </c>
      <c r="AI78" s="57"/>
    </row>
    <row r="79" spans="2:35" ht="12.75" hidden="1" customHeight="1" x14ac:dyDescent="0.25">
      <c r="B79" s="50">
        <v>77</v>
      </c>
      <c r="C79" s="51">
        <v>4</v>
      </c>
      <c r="D79" s="53"/>
      <c r="E79" s="53"/>
      <c r="F79" s="52"/>
      <c r="G79" s="54">
        <f>+AFIRMACIONES!B106</f>
        <v>0</v>
      </c>
      <c r="H79" s="53"/>
      <c r="I79" s="53"/>
      <c r="J79" s="53"/>
      <c r="K79" s="53"/>
      <c r="L79" s="53"/>
      <c r="M79" s="50">
        <v>176</v>
      </c>
      <c r="N79" s="51">
        <v>8</v>
      </c>
      <c r="O79" s="53"/>
      <c r="P79" s="53"/>
      <c r="Q79" s="53"/>
      <c r="R79" s="53"/>
      <c r="S79" s="52"/>
      <c r="T79" s="53"/>
      <c r="U79" s="53"/>
      <c r="V79" s="54">
        <f>+AFIRMACIONES!B205</f>
        <v>0</v>
      </c>
      <c r="W79" s="52"/>
      <c r="X79" s="479" t="str">
        <f>+B102</f>
        <v>Sub Total A</v>
      </c>
      <c r="Y79" s="388"/>
      <c r="Z79" s="53">
        <f t="shared" ref="Z79:AH79" si="1">+D102</f>
        <v>0</v>
      </c>
      <c r="AA79" s="53">
        <f t="shared" si="1"/>
        <v>0</v>
      </c>
      <c r="AB79" s="53">
        <f t="shared" si="1"/>
        <v>0</v>
      </c>
      <c r="AC79" s="53">
        <f t="shared" si="1"/>
        <v>0</v>
      </c>
      <c r="AD79" s="53">
        <f t="shared" si="1"/>
        <v>0</v>
      </c>
      <c r="AE79" s="53">
        <f t="shared" si="1"/>
        <v>0</v>
      </c>
      <c r="AF79" s="53">
        <f t="shared" si="1"/>
        <v>0</v>
      </c>
      <c r="AG79" s="53">
        <f t="shared" si="1"/>
        <v>0</v>
      </c>
      <c r="AH79" s="53">
        <f t="shared" si="1"/>
        <v>0</v>
      </c>
      <c r="AI79" s="64" t="s">
        <v>420</v>
      </c>
    </row>
    <row r="80" spans="2:35" ht="12.75" hidden="1" customHeight="1" x14ac:dyDescent="0.25">
      <c r="B80" s="50">
        <v>78</v>
      </c>
      <c r="C80" s="51">
        <v>7</v>
      </c>
      <c r="D80" s="53"/>
      <c r="E80" s="53"/>
      <c r="F80" s="53"/>
      <c r="G80" s="52"/>
      <c r="H80" s="52"/>
      <c r="I80" s="53"/>
      <c r="J80" s="54">
        <f>+AFIRMACIONES!B107</f>
        <v>0</v>
      </c>
      <c r="K80" s="53"/>
      <c r="L80" s="53"/>
      <c r="M80" s="50">
        <v>177</v>
      </c>
      <c r="N80" s="51">
        <v>5</v>
      </c>
      <c r="O80" s="53"/>
      <c r="P80" s="53"/>
      <c r="Q80" s="52"/>
      <c r="R80" s="53"/>
      <c r="S80" s="54">
        <f>+AFIRMACIONES!B206</f>
        <v>0</v>
      </c>
      <c r="T80" s="53"/>
      <c r="U80" s="53"/>
      <c r="V80" s="53"/>
      <c r="W80" s="52"/>
      <c r="X80" s="479" t="str">
        <f>+M102</f>
        <v>Sub Total B</v>
      </c>
      <c r="Y80" s="388"/>
      <c r="Z80" s="53">
        <f t="shared" ref="Z80:AH80" si="2">+O102</f>
        <v>0</v>
      </c>
      <c r="AA80" s="53">
        <f t="shared" si="2"/>
        <v>0</v>
      </c>
      <c r="AB80" s="53">
        <f t="shared" si="2"/>
        <v>0</v>
      </c>
      <c r="AC80" s="53">
        <f t="shared" si="2"/>
        <v>0</v>
      </c>
      <c r="AD80" s="53">
        <f t="shared" si="2"/>
        <v>0</v>
      </c>
      <c r="AE80" s="53">
        <f t="shared" si="2"/>
        <v>0</v>
      </c>
      <c r="AF80" s="53">
        <f t="shared" si="2"/>
        <v>0</v>
      </c>
      <c r="AG80" s="53">
        <f t="shared" si="2"/>
        <v>0</v>
      </c>
      <c r="AH80" s="53">
        <f t="shared" si="2"/>
        <v>0</v>
      </c>
      <c r="AI80" s="65" t="s">
        <v>421</v>
      </c>
    </row>
    <row r="81" spans="2:38" ht="12.75" hidden="1" customHeight="1" x14ac:dyDescent="0.25">
      <c r="B81" s="50">
        <v>79</v>
      </c>
      <c r="C81" s="51">
        <v>5</v>
      </c>
      <c r="D81" s="53"/>
      <c r="E81" s="53"/>
      <c r="F81" s="53"/>
      <c r="G81" s="52"/>
      <c r="H81" s="54">
        <f>+AFIRMACIONES!B108</f>
        <v>0</v>
      </c>
      <c r="I81" s="53"/>
      <c r="J81" s="53"/>
      <c r="K81" s="53"/>
      <c r="L81" s="53"/>
      <c r="M81" s="50">
        <v>178</v>
      </c>
      <c r="N81" s="51">
        <v>3</v>
      </c>
      <c r="O81" s="53"/>
      <c r="P81" s="52"/>
      <c r="Q81" s="54">
        <f>+AFIRMACIONES!B207</f>
        <v>0</v>
      </c>
      <c r="R81" s="53"/>
      <c r="S81" s="53"/>
      <c r="T81" s="53"/>
      <c r="U81" s="53"/>
      <c r="V81" s="53"/>
      <c r="W81" s="52"/>
      <c r="X81" s="479" t="s">
        <v>419</v>
      </c>
      <c r="Y81" s="388"/>
      <c r="Z81" s="53">
        <f t="shared" ref="Z81:AH81" si="3">+Z75</f>
        <v>0</v>
      </c>
      <c r="AA81" s="53">
        <f t="shared" si="3"/>
        <v>0</v>
      </c>
      <c r="AB81" s="53">
        <f t="shared" si="3"/>
        <v>0</v>
      </c>
      <c r="AC81" s="53">
        <f t="shared" si="3"/>
        <v>0</v>
      </c>
      <c r="AD81" s="53">
        <f t="shared" si="3"/>
        <v>0</v>
      </c>
      <c r="AE81" s="53">
        <f t="shared" si="3"/>
        <v>0</v>
      </c>
      <c r="AF81" s="53">
        <f t="shared" si="3"/>
        <v>0</v>
      </c>
      <c r="AG81" s="53">
        <f t="shared" si="3"/>
        <v>0</v>
      </c>
      <c r="AH81" s="53">
        <f t="shared" si="3"/>
        <v>0</v>
      </c>
      <c r="AI81" s="65" t="s">
        <v>422</v>
      </c>
    </row>
    <row r="82" spans="2:38" ht="12.75" hidden="1" customHeight="1" x14ac:dyDescent="0.3">
      <c r="B82" s="50">
        <v>80</v>
      </c>
      <c r="C82" s="51">
        <v>8</v>
      </c>
      <c r="D82" s="53"/>
      <c r="E82" s="52"/>
      <c r="F82" s="53"/>
      <c r="G82" s="53"/>
      <c r="H82" s="53"/>
      <c r="I82" s="53"/>
      <c r="J82" s="53"/>
      <c r="K82" s="54">
        <f>+AFIRMACIONES!B109</f>
        <v>0</v>
      </c>
      <c r="L82" s="53"/>
      <c r="M82" s="50">
        <v>179</v>
      </c>
      <c r="N82" s="51">
        <v>2</v>
      </c>
      <c r="O82" s="53"/>
      <c r="P82" s="54">
        <f>+AFIRMACIONES!B208</f>
        <v>0</v>
      </c>
      <c r="Q82" s="53"/>
      <c r="R82" s="53"/>
      <c r="S82" s="53"/>
      <c r="T82" s="53"/>
      <c r="U82" s="53"/>
      <c r="V82" s="53"/>
      <c r="W82" s="52"/>
      <c r="X82" s="479" t="s">
        <v>423</v>
      </c>
      <c r="Y82" s="388"/>
      <c r="Z82" s="66">
        <f t="shared" ref="Z82:AH82" si="4">+B146</f>
        <v>0</v>
      </c>
      <c r="AA82" s="66">
        <f t="shared" si="4"/>
        <v>0</v>
      </c>
      <c r="AB82" s="66">
        <f t="shared" si="4"/>
        <v>0</v>
      </c>
      <c r="AC82" s="66">
        <f t="shared" si="4"/>
        <v>0</v>
      </c>
      <c r="AD82" s="66">
        <f t="shared" si="4"/>
        <v>0</v>
      </c>
      <c r="AE82" s="66">
        <f t="shared" si="4"/>
        <v>0</v>
      </c>
      <c r="AF82" s="66">
        <f t="shared" si="4"/>
        <v>0</v>
      </c>
      <c r="AG82" s="66">
        <f t="shared" si="4"/>
        <v>0</v>
      </c>
      <c r="AH82" s="66">
        <f t="shared" si="4"/>
        <v>0</v>
      </c>
      <c r="AI82" s="67">
        <f>SUM(Z82:AH82)</f>
        <v>0</v>
      </c>
    </row>
    <row r="83" spans="2:38" ht="12.75" hidden="1" customHeight="1" x14ac:dyDescent="0.25">
      <c r="B83" s="50">
        <v>81</v>
      </c>
      <c r="C83" s="51">
        <v>2</v>
      </c>
      <c r="D83" s="52"/>
      <c r="E83" s="54">
        <f>+AFIRMACIONES!B110</f>
        <v>0</v>
      </c>
      <c r="F83" s="53"/>
      <c r="G83" s="52"/>
      <c r="H83" s="53"/>
      <c r="I83" s="53"/>
      <c r="J83" s="53"/>
      <c r="K83" s="53"/>
      <c r="L83" s="53"/>
      <c r="M83" s="50">
        <v>180</v>
      </c>
      <c r="N83" s="51">
        <v>1</v>
      </c>
      <c r="O83" s="54">
        <f>+AFIRMACIONES!B209</f>
        <v>0</v>
      </c>
      <c r="P83" s="52"/>
      <c r="Q83" s="53"/>
      <c r="R83" s="53"/>
      <c r="S83" s="53"/>
      <c r="T83" s="53"/>
      <c r="U83" s="53"/>
      <c r="V83" s="53"/>
      <c r="W83" s="52"/>
      <c r="X83" s="61"/>
      <c r="Y83" s="18"/>
      <c r="Z83" s="57"/>
      <c r="AA83" s="57"/>
      <c r="AB83" s="68"/>
      <c r="AC83" s="57"/>
      <c r="AD83" s="57"/>
      <c r="AE83" s="57"/>
      <c r="AF83" s="57"/>
      <c r="AG83" s="45"/>
      <c r="AH83" s="57"/>
      <c r="AI83" s="57"/>
    </row>
    <row r="84" spans="2:38" ht="12.75" hidden="1" customHeight="1" x14ac:dyDescent="0.25">
      <c r="B84" s="50">
        <v>82</v>
      </c>
      <c r="C84" s="51">
        <v>5</v>
      </c>
      <c r="D84" s="53"/>
      <c r="E84" s="53"/>
      <c r="F84" s="53"/>
      <c r="G84" s="53"/>
      <c r="H84" s="54">
        <f>+AFIRMACIONES!B111</f>
        <v>0</v>
      </c>
      <c r="I84" s="53"/>
      <c r="J84" s="53"/>
      <c r="K84" s="52"/>
      <c r="L84" s="53"/>
      <c r="M84" s="50">
        <v>181</v>
      </c>
      <c r="N84" s="51">
        <v>8</v>
      </c>
      <c r="O84" s="53"/>
      <c r="P84" s="53"/>
      <c r="Q84" s="53"/>
      <c r="R84" s="53"/>
      <c r="S84" s="52"/>
      <c r="T84" s="53"/>
      <c r="U84" s="53"/>
      <c r="V84" s="54">
        <f>+AFIRMACIONES!B210</f>
        <v>0</v>
      </c>
      <c r="W84" s="52"/>
      <c r="X84" s="480"/>
      <c r="Y84" s="446"/>
      <c r="Z84" s="481" t="s">
        <v>424</v>
      </c>
      <c r="AA84" s="449"/>
      <c r="AB84" s="449"/>
      <c r="AC84" s="449"/>
      <c r="AD84" s="449"/>
      <c r="AE84" s="449"/>
      <c r="AF84" s="391"/>
      <c r="AG84" s="483">
        <f>IF(H148&lt;=13,2,3)</f>
        <v>2</v>
      </c>
      <c r="AH84" s="58"/>
      <c r="AI84" s="57"/>
    </row>
    <row r="85" spans="2:38" ht="12.75" hidden="1" customHeight="1" x14ac:dyDescent="0.25">
      <c r="B85" s="50">
        <v>83</v>
      </c>
      <c r="C85" s="51">
        <v>6</v>
      </c>
      <c r="D85" s="53"/>
      <c r="E85" s="53"/>
      <c r="F85" s="53"/>
      <c r="G85" s="52"/>
      <c r="H85" s="53"/>
      <c r="I85" s="54">
        <f>+AFIRMACIONES!B112</f>
        <v>0</v>
      </c>
      <c r="J85" s="53"/>
      <c r="K85" s="53"/>
      <c r="L85" s="53"/>
      <c r="M85" s="50">
        <v>182</v>
      </c>
      <c r="N85" s="51">
        <v>9</v>
      </c>
      <c r="O85" s="53"/>
      <c r="P85" s="52"/>
      <c r="Q85" s="53"/>
      <c r="R85" s="53"/>
      <c r="S85" s="53"/>
      <c r="T85" s="53"/>
      <c r="U85" s="53"/>
      <c r="V85" s="53"/>
      <c r="W85" s="54">
        <f>+AFIRMACIONES!B211</f>
        <v>0</v>
      </c>
      <c r="X85" s="70"/>
      <c r="Y85" s="71"/>
      <c r="Z85" s="482"/>
      <c r="AA85" s="446"/>
      <c r="AB85" s="446"/>
      <c r="AC85" s="446"/>
      <c r="AD85" s="446"/>
      <c r="AE85" s="446"/>
      <c r="AF85" s="393"/>
      <c r="AG85" s="484"/>
      <c r="AH85" s="59"/>
      <c r="AI85" s="57"/>
    </row>
    <row r="86" spans="2:38" ht="12.75" hidden="1" customHeight="1" x14ac:dyDescent="0.25">
      <c r="B86" s="50">
        <v>84</v>
      </c>
      <c r="C86" s="51">
        <v>3</v>
      </c>
      <c r="D86" s="53"/>
      <c r="E86" s="53"/>
      <c r="F86" s="54">
        <f>+AFIRMACIONES!B113</f>
        <v>0</v>
      </c>
      <c r="G86" s="52"/>
      <c r="H86" s="53"/>
      <c r="I86" s="53"/>
      <c r="J86" s="53"/>
      <c r="K86" s="53"/>
      <c r="L86" s="53"/>
      <c r="M86" s="50">
        <v>183</v>
      </c>
      <c r="N86" s="51">
        <v>2</v>
      </c>
      <c r="O86" s="53"/>
      <c r="P86" s="54">
        <f>+AFIRMACIONES!B212</f>
        <v>0</v>
      </c>
      <c r="Q86" s="53"/>
      <c r="R86" s="53"/>
      <c r="S86" s="53"/>
      <c r="T86" s="53"/>
      <c r="U86" s="52"/>
      <c r="V86" s="53"/>
      <c r="W86" s="52"/>
      <c r="X86" s="70"/>
      <c r="Y86" s="71"/>
      <c r="Z86" s="482"/>
      <c r="AA86" s="446"/>
      <c r="AB86" s="446"/>
      <c r="AC86" s="446"/>
      <c r="AD86" s="446"/>
      <c r="AE86" s="446"/>
      <c r="AF86" s="393"/>
      <c r="AG86" s="484"/>
      <c r="AH86" s="59"/>
      <c r="AI86" s="57"/>
    </row>
    <row r="87" spans="2:38" ht="12.75" hidden="1" customHeight="1" x14ac:dyDescent="0.25">
      <c r="B87" s="50">
        <v>85</v>
      </c>
      <c r="C87" s="51">
        <v>1</v>
      </c>
      <c r="D87" s="54">
        <f>+AFIRMACIONES!B114</f>
        <v>0</v>
      </c>
      <c r="E87" s="52"/>
      <c r="F87" s="53"/>
      <c r="G87" s="53"/>
      <c r="H87" s="53"/>
      <c r="I87" s="53"/>
      <c r="J87" s="53"/>
      <c r="K87" s="53"/>
      <c r="L87" s="53"/>
      <c r="M87" s="50">
        <v>184</v>
      </c>
      <c r="N87" s="51">
        <v>3</v>
      </c>
      <c r="O87" s="53"/>
      <c r="P87" s="53"/>
      <c r="Q87" s="54">
        <f>+AFIRMACIONES!B213</f>
        <v>0</v>
      </c>
      <c r="R87" s="53"/>
      <c r="S87" s="53"/>
      <c r="T87" s="53"/>
      <c r="U87" s="53"/>
      <c r="V87" s="53"/>
      <c r="W87" s="52"/>
      <c r="X87" s="70"/>
      <c r="Y87" s="71"/>
      <c r="Z87" s="450"/>
      <c r="AA87" s="451"/>
      <c r="AB87" s="451"/>
      <c r="AC87" s="451"/>
      <c r="AD87" s="451"/>
      <c r="AE87" s="451"/>
      <c r="AF87" s="452"/>
      <c r="AG87" s="476"/>
      <c r="AH87" s="59"/>
      <c r="AI87" s="57"/>
    </row>
    <row r="88" spans="2:38" ht="12.75" hidden="1" customHeight="1" x14ac:dyDescent="0.25">
      <c r="B88" s="50">
        <v>86</v>
      </c>
      <c r="C88" s="51">
        <v>4</v>
      </c>
      <c r="D88" s="53"/>
      <c r="E88" s="53"/>
      <c r="F88" s="53"/>
      <c r="G88" s="54">
        <f>+AFIRMACIONES!B115</f>
        <v>0</v>
      </c>
      <c r="H88" s="53"/>
      <c r="I88" s="53"/>
      <c r="J88" s="53"/>
      <c r="K88" s="53"/>
      <c r="L88" s="53"/>
      <c r="M88" s="50">
        <v>185</v>
      </c>
      <c r="N88" s="51">
        <v>1</v>
      </c>
      <c r="O88" s="54">
        <f>+AFIRMACIONES!B214</f>
        <v>0</v>
      </c>
      <c r="P88" s="52"/>
      <c r="Q88" s="53"/>
      <c r="R88" s="53"/>
      <c r="S88" s="53"/>
      <c r="T88" s="53"/>
      <c r="U88" s="53"/>
      <c r="V88" s="53"/>
      <c r="W88" s="52"/>
      <c r="X88" s="71"/>
      <c r="Y88" s="71"/>
      <c r="AB88" s="68"/>
      <c r="AD88" s="18"/>
      <c r="AG88" s="45"/>
      <c r="AH88" s="57"/>
      <c r="AI88" s="57"/>
      <c r="AJ88" s="18"/>
    </row>
    <row r="89" spans="2:38" ht="12.75" hidden="1" customHeight="1" x14ac:dyDescent="0.25">
      <c r="B89" s="50">
        <v>87</v>
      </c>
      <c r="C89" s="51">
        <v>2</v>
      </c>
      <c r="D89" s="52"/>
      <c r="E89" s="54">
        <f>+AFIRMACIONES!B116</f>
        <v>0</v>
      </c>
      <c r="F89" s="53"/>
      <c r="G89" s="53"/>
      <c r="H89" s="53"/>
      <c r="I89" s="53"/>
      <c r="J89" s="53"/>
      <c r="K89" s="52"/>
      <c r="L89" s="53"/>
      <c r="M89" s="50">
        <v>186</v>
      </c>
      <c r="N89" s="51">
        <v>5</v>
      </c>
      <c r="O89" s="53"/>
      <c r="P89" s="53"/>
      <c r="Q89" s="53"/>
      <c r="R89" s="53"/>
      <c r="S89" s="54">
        <f>+AFIRMACIONES!B215</f>
        <v>0</v>
      </c>
      <c r="T89" s="53"/>
      <c r="U89" s="53"/>
      <c r="V89" s="53"/>
      <c r="W89" s="52"/>
      <c r="X89" s="71"/>
      <c r="AB89" s="68"/>
      <c r="AD89" s="18"/>
      <c r="AG89" s="45"/>
      <c r="AH89" s="57"/>
      <c r="AI89" s="72"/>
      <c r="AJ89" s="72"/>
    </row>
    <row r="90" spans="2:38" ht="12.75" hidden="1" customHeight="1" x14ac:dyDescent="0.25">
      <c r="B90" s="50">
        <v>88</v>
      </c>
      <c r="C90" s="51">
        <v>9</v>
      </c>
      <c r="D90" s="52"/>
      <c r="E90" s="53"/>
      <c r="F90" s="53"/>
      <c r="G90" s="53"/>
      <c r="H90" s="53"/>
      <c r="I90" s="53"/>
      <c r="J90" s="53"/>
      <c r="K90" s="53"/>
      <c r="L90" s="54">
        <f>+AFIRMACIONES!B117</f>
        <v>0</v>
      </c>
      <c r="M90" s="50">
        <v>187</v>
      </c>
      <c r="N90" s="51">
        <v>4</v>
      </c>
      <c r="O90" s="53"/>
      <c r="P90" s="53"/>
      <c r="Q90" s="53"/>
      <c r="R90" s="54">
        <f>+AFIRMACIONES!B216</f>
        <v>0</v>
      </c>
      <c r="S90" s="53"/>
      <c r="T90" s="53"/>
      <c r="U90" s="53"/>
      <c r="V90" s="52"/>
      <c r="W90" s="52"/>
      <c r="X90" s="73">
        <f>+B155</f>
        <v>0</v>
      </c>
      <c r="Y90" s="17">
        <f t="shared" ref="Y90:Y98" si="5">+IF(X90&lt;0, 1,)</f>
        <v>0</v>
      </c>
      <c r="Z90" s="57">
        <v>1</v>
      </c>
      <c r="AA90" s="18" t="s">
        <v>425</v>
      </c>
      <c r="AB90" s="68"/>
      <c r="AD90" s="18"/>
      <c r="AG90" s="45"/>
      <c r="AH90" s="57"/>
      <c r="AI90" s="57"/>
      <c r="AJ90" s="71"/>
    </row>
    <row r="91" spans="2:38" ht="12.75" hidden="1" customHeight="1" x14ac:dyDescent="0.25">
      <c r="B91" s="50">
        <v>89</v>
      </c>
      <c r="C91" s="51">
        <v>7</v>
      </c>
      <c r="D91" s="53"/>
      <c r="E91" s="53"/>
      <c r="F91" s="53"/>
      <c r="G91" s="52"/>
      <c r="H91" s="53"/>
      <c r="I91" s="53"/>
      <c r="J91" s="54">
        <f>+AFIRMACIONES!B118</f>
        <v>0</v>
      </c>
      <c r="K91" s="53"/>
      <c r="L91" s="53"/>
      <c r="M91" s="50">
        <v>188</v>
      </c>
      <c r="N91" s="51">
        <v>7</v>
      </c>
      <c r="O91" s="53"/>
      <c r="P91" s="53"/>
      <c r="Q91" s="53"/>
      <c r="R91" s="53"/>
      <c r="S91" s="53"/>
      <c r="T91" s="53"/>
      <c r="U91" s="54">
        <f>+AFIRMACIONES!B217</f>
        <v>0</v>
      </c>
      <c r="V91" s="52"/>
      <c r="W91" s="52"/>
      <c r="X91" s="73">
        <f>+C155</f>
        <v>0</v>
      </c>
      <c r="Y91" s="17">
        <f t="shared" si="5"/>
        <v>0</v>
      </c>
      <c r="Z91" s="57">
        <v>2</v>
      </c>
      <c r="AA91" s="18" t="s">
        <v>426</v>
      </c>
      <c r="AB91" s="68"/>
      <c r="AD91" s="18"/>
      <c r="AG91" s="45"/>
      <c r="AH91" s="57"/>
      <c r="AI91" s="57"/>
      <c r="AJ91" s="71"/>
      <c r="AK91" s="70"/>
      <c r="AL91" s="71"/>
    </row>
    <row r="92" spans="2:38" ht="12.75" hidden="1" customHeight="1" x14ac:dyDescent="0.25">
      <c r="B92" s="50">
        <v>90</v>
      </c>
      <c r="C92" s="51">
        <v>8</v>
      </c>
      <c r="D92" s="53"/>
      <c r="E92" s="53"/>
      <c r="F92" s="53"/>
      <c r="G92" s="53"/>
      <c r="H92" s="53"/>
      <c r="I92" s="52"/>
      <c r="J92" s="53"/>
      <c r="K92" s="54">
        <f>+AFIRMACIONES!B119</f>
        <v>0</v>
      </c>
      <c r="L92" s="53"/>
      <c r="M92" s="50">
        <v>189</v>
      </c>
      <c r="N92" s="51">
        <v>6</v>
      </c>
      <c r="O92" s="53"/>
      <c r="P92" s="53"/>
      <c r="Q92" s="53"/>
      <c r="R92" s="52"/>
      <c r="S92" s="53"/>
      <c r="T92" s="54">
        <f>+AFIRMACIONES!B218</f>
        <v>0</v>
      </c>
      <c r="U92" s="53"/>
      <c r="V92" s="53"/>
      <c r="W92" s="53"/>
      <c r="X92" s="73">
        <f>+D155</f>
        <v>0</v>
      </c>
      <c r="Y92" s="17">
        <f t="shared" si="5"/>
        <v>0</v>
      </c>
      <c r="Z92" s="57">
        <v>3</v>
      </c>
      <c r="AA92" s="18" t="s">
        <v>427</v>
      </c>
      <c r="AB92" s="68"/>
      <c r="AD92" s="18"/>
      <c r="AG92" s="45"/>
      <c r="AH92" s="57"/>
      <c r="AI92" s="57"/>
      <c r="AJ92" s="71"/>
      <c r="AK92" s="70"/>
      <c r="AL92" s="71"/>
    </row>
    <row r="93" spans="2:38" ht="12.75" hidden="1" customHeight="1" x14ac:dyDescent="0.25">
      <c r="B93" s="50">
        <v>91</v>
      </c>
      <c r="C93" s="51">
        <v>5</v>
      </c>
      <c r="D93" s="53"/>
      <c r="E93" s="53"/>
      <c r="F93" s="53"/>
      <c r="G93" s="53"/>
      <c r="H93" s="54">
        <f>+AFIRMACIONES!B120</f>
        <v>0</v>
      </c>
      <c r="I93" s="52"/>
      <c r="J93" s="53"/>
      <c r="K93" s="53"/>
      <c r="L93" s="53"/>
      <c r="M93" s="50">
        <v>190</v>
      </c>
      <c r="N93" s="51">
        <v>5</v>
      </c>
      <c r="O93" s="53"/>
      <c r="P93" s="53"/>
      <c r="Q93" s="53"/>
      <c r="R93" s="52"/>
      <c r="S93" s="54">
        <f>+AFIRMACIONES!B219</f>
        <v>0</v>
      </c>
      <c r="T93" s="53"/>
      <c r="U93" s="53"/>
      <c r="V93" s="53"/>
      <c r="W93" s="53"/>
      <c r="X93" s="73">
        <f>+E155</f>
        <v>0</v>
      </c>
      <c r="Y93" s="17">
        <f t="shared" si="5"/>
        <v>0</v>
      </c>
      <c r="Z93" s="57">
        <v>4</v>
      </c>
      <c r="AA93" s="18" t="s">
        <v>428</v>
      </c>
      <c r="AB93" s="68"/>
      <c r="AI93" s="57"/>
      <c r="AJ93" s="68"/>
      <c r="AK93" s="70"/>
      <c r="AL93" s="71"/>
    </row>
    <row r="94" spans="2:38" ht="12.75" hidden="1" customHeight="1" x14ac:dyDescent="0.25">
      <c r="B94" s="50">
        <v>92</v>
      </c>
      <c r="C94" s="51">
        <v>7</v>
      </c>
      <c r="D94" s="53"/>
      <c r="E94" s="53"/>
      <c r="F94" s="53"/>
      <c r="G94" s="53"/>
      <c r="H94" s="53"/>
      <c r="I94" s="52"/>
      <c r="J94" s="54">
        <f>+AFIRMACIONES!B121</f>
        <v>0</v>
      </c>
      <c r="K94" s="53"/>
      <c r="L94" s="53"/>
      <c r="M94" s="50">
        <v>191</v>
      </c>
      <c r="N94" s="51">
        <v>6</v>
      </c>
      <c r="O94" s="53"/>
      <c r="P94" s="53"/>
      <c r="Q94" s="53"/>
      <c r="R94" s="52"/>
      <c r="S94" s="53"/>
      <c r="T94" s="54">
        <f>+AFIRMACIONES!B220</f>
        <v>0</v>
      </c>
      <c r="U94" s="53"/>
      <c r="V94" s="53"/>
      <c r="W94" s="53"/>
      <c r="X94" s="73">
        <f>+F155</f>
        <v>0</v>
      </c>
      <c r="Y94" s="17">
        <f t="shared" si="5"/>
        <v>0</v>
      </c>
      <c r="Z94" s="57">
        <v>5</v>
      </c>
      <c r="AA94" s="18" t="s">
        <v>429</v>
      </c>
      <c r="AD94" s="57"/>
      <c r="AE94" s="57"/>
      <c r="AF94" s="45"/>
      <c r="AG94" s="57"/>
      <c r="AH94" s="57"/>
      <c r="AI94" s="57"/>
      <c r="AJ94" s="68"/>
      <c r="AK94" s="70"/>
      <c r="AL94" s="71"/>
    </row>
    <row r="95" spans="2:38" ht="12.75" hidden="1" customHeight="1" x14ac:dyDescent="0.25">
      <c r="B95" s="50">
        <v>93</v>
      </c>
      <c r="C95" s="51">
        <v>9</v>
      </c>
      <c r="D95" s="53"/>
      <c r="E95" s="53"/>
      <c r="F95" s="53"/>
      <c r="G95" s="53"/>
      <c r="H95" s="53"/>
      <c r="I95" s="52"/>
      <c r="J95" s="53"/>
      <c r="K95" s="53"/>
      <c r="L95" s="54">
        <f>+AFIRMACIONES!B122</f>
        <v>0</v>
      </c>
      <c r="M95" s="50">
        <v>192</v>
      </c>
      <c r="N95" s="51">
        <v>2</v>
      </c>
      <c r="O95" s="53"/>
      <c r="P95" s="54">
        <f>+AFIRMACIONES!B221</f>
        <v>0</v>
      </c>
      <c r="Q95" s="53"/>
      <c r="R95" s="52"/>
      <c r="S95" s="53"/>
      <c r="T95" s="53"/>
      <c r="U95" s="53"/>
      <c r="V95" s="53"/>
      <c r="W95" s="53"/>
      <c r="X95" s="73">
        <f>+G155</f>
        <v>0</v>
      </c>
      <c r="Y95" s="17">
        <f t="shared" si="5"/>
        <v>0</v>
      </c>
      <c r="Z95" s="57">
        <v>6</v>
      </c>
      <c r="AA95" s="74" t="s">
        <v>430</v>
      </c>
      <c r="AD95" s="57"/>
      <c r="AE95" s="57"/>
      <c r="AF95" s="45"/>
      <c r="AG95" s="57"/>
      <c r="AH95" s="57"/>
      <c r="AI95" s="57"/>
      <c r="AJ95" s="68"/>
      <c r="AK95" s="70"/>
      <c r="AL95" s="71"/>
    </row>
    <row r="96" spans="2:38" ht="12.75" hidden="1" customHeight="1" x14ac:dyDescent="0.25">
      <c r="B96" s="50">
        <v>94</v>
      </c>
      <c r="C96" s="51">
        <v>6</v>
      </c>
      <c r="D96" s="53"/>
      <c r="E96" s="53"/>
      <c r="F96" s="53"/>
      <c r="G96" s="53"/>
      <c r="H96" s="53"/>
      <c r="I96" s="54">
        <f>+AFIRMACIONES!B123</f>
        <v>0</v>
      </c>
      <c r="J96" s="53"/>
      <c r="K96" s="53"/>
      <c r="L96" s="53"/>
      <c r="M96" s="50">
        <v>193</v>
      </c>
      <c r="N96" s="51">
        <v>7</v>
      </c>
      <c r="O96" s="53"/>
      <c r="P96" s="53"/>
      <c r="Q96" s="53"/>
      <c r="R96" s="52"/>
      <c r="S96" s="53"/>
      <c r="T96" s="53"/>
      <c r="U96" s="54">
        <f>+AFIRMACIONES!B222</f>
        <v>0</v>
      </c>
      <c r="V96" s="53"/>
      <c r="W96" s="53"/>
      <c r="X96" s="73">
        <f>+H155</f>
        <v>0</v>
      </c>
      <c r="Y96" s="17">
        <f t="shared" si="5"/>
        <v>0</v>
      </c>
      <c r="Z96" s="57">
        <v>7</v>
      </c>
      <c r="AA96" s="74" t="s">
        <v>431</v>
      </c>
      <c r="AD96" s="57"/>
      <c r="AE96" s="57"/>
      <c r="AF96" s="45"/>
      <c r="AG96" s="57"/>
      <c r="AH96" s="57"/>
      <c r="AI96" s="57"/>
      <c r="AJ96" s="68"/>
      <c r="AK96" s="75"/>
      <c r="AL96" s="71"/>
    </row>
    <row r="97" spans="2:38" ht="12.75" hidden="1" customHeight="1" x14ac:dyDescent="0.25">
      <c r="B97" s="50">
        <v>95</v>
      </c>
      <c r="C97" s="51">
        <v>8</v>
      </c>
      <c r="D97" s="53"/>
      <c r="E97" s="53"/>
      <c r="F97" s="53"/>
      <c r="G97" s="53"/>
      <c r="H97" s="53"/>
      <c r="I97" s="52"/>
      <c r="J97" s="53"/>
      <c r="K97" s="54">
        <f>+AFIRMACIONES!B124</f>
        <v>0</v>
      </c>
      <c r="L97" s="53"/>
      <c r="M97" s="50">
        <v>194</v>
      </c>
      <c r="N97" s="51">
        <v>3</v>
      </c>
      <c r="O97" s="53"/>
      <c r="P97" s="53"/>
      <c r="Q97" s="54">
        <f>+AFIRMACIONES!B223</f>
        <v>0</v>
      </c>
      <c r="R97" s="52"/>
      <c r="S97" s="53"/>
      <c r="T97" s="53"/>
      <c r="U97" s="53"/>
      <c r="V97" s="53"/>
      <c r="W97" s="53"/>
      <c r="X97" s="73">
        <f>+I155</f>
        <v>0</v>
      </c>
      <c r="Y97" s="17">
        <f t="shared" si="5"/>
        <v>0</v>
      </c>
      <c r="Z97" s="57">
        <v>8</v>
      </c>
      <c r="AA97" s="74" t="s">
        <v>432</v>
      </c>
      <c r="AD97" s="57"/>
      <c r="AE97" s="57"/>
      <c r="AF97" s="45"/>
      <c r="AG97" s="57"/>
      <c r="AH97" s="57"/>
      <c r="AI97" s="57"/>
      <c r="AJ97" s="68"/>
      <c r="AK97" s="75"/>
      <c r="AL97" s="71"/>
    </row>
    <row r="98" spans="2:38" ht="12.75" hidden="1" customHeight="1" x14ac:dyDescent="0.25">
      <c r="B98" s="50">
        <v>96</v>
      </c>
      <c r="C98" s="51">
        <v>3</v>
      </c>
      <c r="D98" s="53"/>
      <c r="E98" s="53"/>
      <c r="F98" s="54">
        <f>+AFIRMACIONES!B125</f>
        <v>0</v>
      </c>
      <c r="G98" s="53"/>
      <c r="H98" s="53"/>
      <c r="I98" s="52"/>
      <c r="J98" s="53"/>
      <c r="K98" s="53"/>
      <c r="L98" s="53"/>
      <c r="M98" s="50">
        <v>195</v>
      </c>
      <c r="N98" s="51">
        <v>9</v>
      </c>
      <c r="O98" s="53"/>
      <c r="P98" s="53"/>
      <c r="Q98" s="53"/>
      <c r="R98" s="52"/>
      <c r="S98" s="53"/>
      <c r="T98" s="53"/>
      <c r="U98" s="53"/>
      <c r="V98" s="53"/>
      <c r="W98" s="54">
        <f>+AFIRMACIONES!B224</f>
        <v>0</v>
      </c>
      <c r="X98" s="73">
        <f>+J155</f>
        <v>0</v>
      </c>
      <c r="Y98" s="17">
        <f t="shared" si="5"/>
        <v>0</v>
      </c>
      <c r="Z98" s="57">
        <v>9</v>
      </c>
      <c r="AA98" s="74" t="s">
        <v>433</v>
      </c>
      <c r="AC98" s="57"/>
      <c r="AD98" s="57"/>
      <c r="AE98" s="57"/>
      <c r="AF98" s="45"/>
      <c r="AG98" s="57"/>
      <c r="AH98" s="57"/>
      <c r="AI98" s="57"/>
    </row>
    <row r="99" spans="2:38" ht="12.75" hidden="1" customHeight="1" x14ac:dyDescent="0.25">
      <c r="B99" s="50">
        <v>97</v>
      </c>
      <c r="C99" s="51">
        <v>1</v>
      </c>
      <c r="D99" s="54">
        <f>+AFIRMACIONES!B126</f>
        <v>0</v>
      </c>
      <c r="E99" s="53"/>
      <c r="F99" s="53"/>
      <c r="G99" s="53"/>
      <c r="H99" s="53"/>
      <c r="I99" s="52"/>
      <c r="J99" s="53"/>
      <c r="K99" s="53"/>
      <c r="L99" s="53"/>
      <c r="M99" s="50">
        <v>196</v>
      </c>
      <c r="N99" s="51">
        <v>4</v>
      </c>
      <c r="O99" s="53"/>
      <c r="P99" s="53"/>
      <c r="Q99" s="53"/>
      <c r="R99" s="54">
        <f>+AFIRMACIONES!B225</f>
        <v>0</v>
      </c>
      <c r="S99" s="53"/>
      <c r="T99" s="53"/>
      <c r="U99" s="53"/>
      <c r="V99" s="53"/>
      <c r="W99" s="53"/>
      <c r="X99" s="76"/>
      <c r="Y99" s="76"/>
      <c r="Z99" s="57"/>
      <c r="AA99" s="57"/>
      <c r="AB99" s="45"/>
      <c r="AC99" s="57"/>
      <c r="AD99" s="57"/>
      <c r="AE99" s="57"/>
      <c r="AF99" s="45"/>
      <c r="AG99" s="57"/>
      <c r="AH99" s="57"/>
      <c r="AI99" s="57"/>
    </row>
    <row r="100" spans="2:38" ht="12.75" hidden="1" customHeight="1" x14ac:dyDescent="0.25">
      <c r="B100" s="50">
        <v>98</v>
      </c>
      <c r="C100" s="51">
        <v>2</v>
      </c>
      <c r="D100" s="52"/>
      <c r="E100" s="54">
        <f>+AFIRMACIONES!B127</f>
        <v>0</v>
      </c>
      <c r="F100" s="53"/>
      <c r="G100" s="53"/>
      <c r="H100" s="53"/>
      <c r="I100" s="52"/>
      <c r="J100" s="53"/>
      <c r="K100" s="53"/>
      <c r="L100" s="53"/>
      <c r="M100" s="50">
        <v>197</v>
      </c>
      <c r="N100" s="51">
        <v>1</v>
      </c>
      <c r="O100" s="54">
        <f>+AFIRMACIONES!B226</f>
        <v>0</v>
      </c>
      <c r="P100" s="53"/>
      <c r="Q100" s="53"/>
      <c r="R100" s="52"/>
      <c r="S100" s="53"/>
      <c r="T100" s="53"/>
      <c r="U100" s="53"/>
      <c r="V100" s="53"/>
      <c r="W100" s="53"/>
      <c r="X100" s="76"/>
      <c r="Y100" s="76"/>
      <c r="Z100" s="57"/>
      <c r="AA100" s="57"/>
      <c r="AB100" s="45"/>
      <c r="AC100" s="57"/>
      <c r="AD100" s="57"/>
      <c r="AE100" s="57"/>
      <c r="AF100" s="45"/>
      <c r="AG100" s="57"/>
      <c r="AH100" s="57"/>
      <c r="AI100" s="57"/>
    </row>
    <row r="101" spans="2:38" ht="12.75" hidden="1" customHeight="1" x14ac:dyDescent="0.25">
      <c r="B101" s="50">
        <v>99</v>
      </c>
      <c r="C101" s="51">
        <v>4</v>
      </c>
      <c r="D101" s="53"/>
      <c r="E101" s="53"/>
      <c r="F101" s="53"/>
      <c r="G101" s="54">
        <f>+AFIRMACIONES!B128</f>
        <v>0</v>
      </c>
      <c r="H101" s="53"/>
      <c r="I101" s="52"/>
      <c r="J101" s="53"/>
      <c r="K101" s="53"/>
      <c r="L101" s="53"/>
      <c r="M101" s="50">
        <v>198</v>
      </c>
      <c r="N101" s="51">
        <v>8</v>
      </c>
      <c r="O101" s="53"/>
      <c r="P101" s="53"/>
      <c r="Q101" s="53"/>
      <c r="R101" s="52"/>
      <c r="S101" s="53"/>
      <c r="T101" s="53"/>
      <c r="U101" s="53"/>
      <c r="V101" s="54">
        <f>+AFIRMACIONES!B227</f>
        <v>0</v>
      </c>
      <c r="W101" s="53"/>
      <c r="X101" s="76"/>
      <c r="Y101" s="76"/>
      <c r="Z101" s="57"/>
      <c r="AA101" s="57"/>
      <c r="AB101" s="45"/>
      <c r="AC101" s="57"/>
      <c r="AD101" s="57"/>
      <c r="AE101" s="57"/>
      <c r="AF101" s="45"/>
      <c r="AG101" s="57"/>
      <c r="AH101" s="57"/>
      <c r="AI101" s="57"/>
    </row>
    <row r="102" spans="2:38" ht="12.75" hidden="1" customHeight="1" x14ac:dyDescent="0.25">
      <c r="B102" s="478" t="s">
        <v>434</v>
      </c>
      <c r="C102" s="388"/>
      <c r="D102" s="60">
        <f t="shared" ref="D102:L102" si="6">SUM(D3:D101)</f>
        <v>0</v>
      </c>
      <c r="E102" s="60">
        <f t="shared" si="6"/>
        <v>0</v>
      </c>
      <c r="F102" s="60">
        <f t="shared" si="6"/>
        <v>0</v>
      </c>
      <c r="G102" s="60">
        <f t="shared" si="6"/>
        <v>0</v>
      </c>
      <c r="H102" s="60">
        <f t="shared" si="6"/>
        <v>0</v>
      </c>
      <c r="I102" s="60">
        <f t="shared" si="6"/>
        <v>0</v>
      </c>
      <c r="J102" s="60">
        <f t="shared" si="6"/>
        <v>0</v>
      </c>
      <c r="K102" s="60">
        <f t="shared" si="6"/>
        <v>0</v>
      </c>
      <c r="L102" s="60">
        <f t="shared" si="6"/>
        <v>0</v>
      </c>
      <c r="M102" s="478" t="s">
        <v>435</v>
      </c>
      <c r="N102" s="388"/>
      <c r="O102" s="60">
        <f t="shared" ref="O102:W102" si="7">SUM(O3:O101)</f>
        <v>0</v>
      </c>
      <c r="P102" s="60">
        <f t="shared" si="7"/>
        <v>0</v>
      </c>
      <c r="Q102" s="60">
        <f t="shared" si="7"/>
        <v>0</v>
      </c>
      <c r="R102" s="60">
        <f t="shared" si="7"/>
        <v>0</v>
      </c>
      <c r="S102" s="60">
        <f t="shared" si="7"/>
        <v>0</v>
      </c>
      <c r="T102" s="60">
        <f t="shared" si="7"/>
        <v>0</v>
      </c>
      <c r="U102" s="60">
        <f t="shared" si="7"/>
        <v>0</v>
      </c>
      <c r="V102" s="60">
        <f t="shared" si="7"/>
        <v>0</v>
      </c>
      <c r="W102" s="60">
        <f t="shared" si="7"/>
        <v>0</v>
      </c>
      <c r="X102" s="61"/>
      <c r="AB102" s="68"/>
      <c r="AD102" s="18"/>
      <c r="AG102" s="45"/>
      <c r="AH102" s="57"/>
      <c r="AI102" s="57"/>
    </row>
    <row r="103" spans="2:38" ht="12.75" hidden="1" customHeight="1" x14ac:dyDescent="0.25">
      <c r="M103" s="61"/>
      <c r="O103" s="71"/>
      <c r="P103" s="71"/>
      <c r="Q103" s="71"/>
      <c r="R103" s="71"/>
      <c r="S103" s="71"/>
      <c r="T103" s="71"/>
      <c r="U103" s="71"/>
      <c r="AB103" s="68"/>
      <c r="AD103" s="71"/>
      <c r="AE103" s="71"/>
      <c r="AF103" s="71"/>
      <c r="AG103" s="77"/>
      <c r="AH103" s="59"/>
      <c r="AI103" s="57"/>
    </row>
    <row r="104" spans="2:38" ht="37.5" customHeight="1" x14ac:dyDescent="0.25">
      <c r="B104" s="432" t="s">
        <v>436</v>
      </c>
      <c r="C104" s="368"/>
      <c r="D104" s="368"/>
      <c r="E104" s="433"/>
      <c r="F104" s="442">
        <f>+F143</f>
        <v>0</v>
      </c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  <c r="R104" s="433"/>
      <c r="T104" s="78"/>
      <c r="U104" s="78"/>
      <c r="V104" s="78"/>
      <c r="AB104" s="68"/>
      <c r="AD104" s="71"/>
      <c r="AE104" s="71"/>
      <c r="AF104" s="71"/>
      <c r="AG104" s="77"/>
      <c r="AH104" s="59"/>
      <c r="AI104" s="57"/>
    </row>
    <row r="105" spans="2:38" ht="12.75" customHeight="1" x14ac:dyDescent="0.25">
      <c r="B105" s="61"/>
      <c r="M105" s="61"/>
      <c r="O105" s="71"/>
      <c r="P105" s="71"/>
      <c r="Q105" s="79" t="s">
        <v>437</v>
      </c>
      <c r="R105" s="485">
        <f>+M144</f>
        <v>0</v>
      </c>
      <c r="S105" s="433"/>
      <c r="T105" s="71"/>
      <c r="AB105" s="68"/>
      <c r="AD105" s="71"/>
      <c r="AE105" s="71"/>
      <c r="AF105" s="71"/>
      <c r="AG105" s="77"/>
      <c r="AH105" s="59"/>
      <c r="AI105" s="57"/>
    </row>
    <row r="106" spans="2:38" ht="12.75" customHeight="1" x14ac:dyDescent="0.25">
      <c r="B106" s="61"/>
      <c r="M106" s="61"/>
      <c r="O106" s="71"/>
      <c r="P106" s="71"/>
      <c r="Q106" s="71"/>
      <c r="R106" s="71"/>
      <c r="S106" s="71"/>
      <c r="T106" s="71"/>
      <c r="AB106" s="68"/>
      <c r="AD106" s="71"/>
      <c r="AE106" s="71"/>
      <c r="AF106" s="71"/>
      <c r="AG106" s="77"/>
      <c r="AH106" s="59"/>
      <c r="AI106" s="57"/>
    </row>
    <row r="107" spans="2:38" ht="12.75" customHeight="1" x14ac:dyDescent="0.25">
      <c r="B107" s="486" t="s">
        <v>438</v>
      </c>
      <c r="C107" s="361"/>
      <c r="D107" s="361"/>
      <c r="E107" s="361"/>
      <c r="F107" s="361"/>
      <c r="G107" s="361"/>
      <c r="H107" s="361"/>
      <c r="I107" s="361"/>
      <c r="J107" s="361"/>
      <c r="K107" s="361"/>
      <c r="L107" s="361"/>
      <c r="M107" s="361"/>
      <c r="N107" s="361"/>
      <c r="O107" s="361"/>
      <c r="P107" s="361"/>
      <c r="Q107" s="361"/>
      <c r="R107" s="361"/>
      <c r="S107" s="361"/>
      <c r="T107" s="388"/>
      <c r="X107" s="61"/>
      <c r="AB107" s="68"/>
      <c r="AD107" s="18"/>
      <c r="AG107" s="45"/>
      <c r="AH107" s="57"/>
      <c r="AI107" s="57"/>
    </row>
    <row r="108" spans="2:38" ht="12.75" customHeight="1" x14ac:dyDescent="0.25">
      <c r="B108" s="61"/>
      <c r="M108" s="61"/>
      <c r="X108" s="61"/>
      <c r="AB108" s="68"/>
      <c r="AD108" s="18"/>
      <c r="AG108" s="45"/>
      <c r="AH108" s="57"/>
      <c r="AI108" s="57"/>
    </row>
    <row r="109" spans="2:38" ht="12.75" customHeight="1" x14ac:dyDescent="0.25">
      <c r="B109" s="487" t="s">
        <v>439</v>
      </c>
      <c r="C109" s="361"/>
      <c r="D109" s="80">
        <f>(MAX($B$146:$J$146)+MIN($B$146:$J$146))/2</f>
        <v>0</v>
      </c>
      <c r="M109" s="61"/>
      <c r="P109" s="488"/>
      <c r="Q109" s="446"/>
      <c r="S109" s="488"/>
      <c r="T109" s="446"/>
      <c r="X109" s="61"/>
      <c r="AB109" s="68"/>
      <c r="AD109" s="18"/>
      <c r="AG109" s="45"/>
      <c r="AH109" s="57"/>
      <c r="AI109" s="57"/>
    </row>
    <row r="110" spans="2:38" ht="12.75" customHeight="1" x14ac:dyDescent="0.35">
      <c r="B110" s="61"/>
      <c r="M110" s="61"/>
      <c r="P110" s="489"/>
      <c r="Q110" s="446"/>
      <c r="R110" s="81"/>
      <c r="S110" s="489"/>
      <c r="T110" s="446"/>
      <c r="AB110" s="68"/>
      <c r="AD110" s="71"/>
      <c r="AE110" s="71"/>
      <c r="AF110" s="71"/>
      <c r="AG110" s="77"/>
      <c r="AH110" s="59"/>
      <c r="AI110" s="57"/>
    </row>
    <row r="111" spans="2:38" ht="12.75" customHeight="1" x14ac:dyDescent="0.25">
      <c r="B111" s="61"/>
      <c r="M111" s="61"/>
      <c r="X111" s="61"/>
      <c r="AB111" s="68"/>
      <c r="AD111" s="18"/>
      <c r="AG111" s="45"/>
      <c r="AH111" s="57"/>
      <c r="AI111" s="57"/>
    </row>
    <row r="112" spans="2:38" ht="21.75" customHeight="1" x14ac:dyDescent="0.25">
      <c r="B112" s="61"/>
      <c r="K112" s="82">
        <f>+J146</f>
        <v>0</v>
      </c>
      <c r="M112" s="61"/>
      <c r="X112" s="61"/>
      <c r="AB112" s="68"/>
      <c r="AD112" s="18"/>
      <c r="AG112" s="45"/>
      <c r="AH112" s="57"/>
      <c r="AI112" s="57"/>
    </row>
    <row r="113" spans="2:35" ht="12.75" customHeight="1" x14ac:dyDescent="0.25">
      <c r="B113" s="61"/>
      <c r="M113" s="61"/>
      <c r="X113" s="61"/>
      <c r="AB113" s="68"/>
      <c r="AD113" s="18"/>
      <c r="AG113" s="45"/>
      <c r="AH113" s="57"/>
      <c r="AI113" s="57"/>
    </row>
    <row r="114" spans="2:35" ht="12.75" customHeight="1" x14ac:dyDescent="0.25">
      <c r="B114" s="61"/>
      <c r="M114" s="61"/>
      <c r="X114" s="61"/>
      <c r="AB114" s="68"/>
      <c r="AD114" s="18"/>
      <c r="AG114" s="45"/>
      <c r="AH114" s="57"/>
      <c r="AI114" s="57"/>
    </row>
    <row r="115" spans="2:35" ht="12.75" customHeight="1" x14ac:dyDescent="0.25">
      <c r="B115" s="61"/>
      <c r="M115" s="61"/>
      <c r="X115" s="61"/>
      <c r="AB115" s="68"/>
      <c r="AD115" s="18"/>
      <c r="AG115" s="45"/>
      <c r="AH115" s="57"/>
      <c r="AI115" s="57"/>
    </row>
    <row r="116" spans="2:35" ht="12.75" customHeight="1" x14ac:dyDescent="0.25">
      <c r="B116" s="61"/>
      <c r="M116" s="61"/>
      <c r="X116" s="61"/>
      <c r="AB116" s="68"/>
      <c r="AD116" s="18"/>
      <c r="AG116" s="45"/>
      <c r="AH116" s="57"/>
      <c r="AI116" s="57"/>
    </row>
    <row r="117" spans="2:35" ht="12.75" customHeight="1" x14ac:dyDescent="0.25">
      <c r="B117" s="61"/>
      <c r="M117" s="61"/>
      <c r="X117" s="61"/>
      <c r="AB117" s="68"/>
      <c r="AD117" s="18"/>
      <c r="AG117" s="45"/>
      <c r="AH117" s="57"/>
      <c r="AI117" s="57"/>
    </row>
    <row r="118" spans="2:35" ht="27" customHeight="1" x14ac:dyDescent="0.25">
      <c r="B118" s="61"/>
      <c r="E118" s="82">
        <f>+I146</f>
        <v>0</v>
      </c>
      <c r="M118" s="61"/>
      <c r="Q118" s="82">
        <f>+B146</f>
        <v>0</v>
      </c>
      <c r="X118" s="61"/>
      <c r="AB118" s="68"/>
      <c r="AD118" s="18"/>
      <c r="AG118" s="45"/>
      <c r="AH118" s="57"/>
      <c r="AI118" s="57"/>
    </row>
    <row r="119" spans="2:35" ht="12.75" customHeight="1" x14ac:dyDescent="0.25">
      <c r="B119" s="61"/>
      <c r="M119" s="61"/>
      <c r="X119" s="61"/>
      <c r="AB119" s="68"/>
      <c r="AD119" s="18"/>
      <c r="AG119" s="45"/>
      <c r="AH119" s="57"/>
      <c r="AI119" s="57"/>
    </row>
    <row r="120" spans="2:35" ht="12.75" customHeight="1" x14ac:dyDescent="0.25">
      <c r="B120" s="61"/>
      <c r="M120" s="61"/>
      <c r="X120" s="61"/>
      <c r="AB120" s="68"/>
      <c r="AD120" s="18"/>
      <c r="AG120" s="45"/>
      <c r="AH120" s="57"/>
      <c r="AI120" s="57"/>
    </row>
    <row r="121" spans="2:35" ht="12.75" customHeight="1" x14ac:dyDescent="0.25">
      <c r="B121" s="61"/>
      <c r="M121" s="61"/>
      <c r="X121" s="61"/>
      <c r="AB121" s="68"/>
      <c r="AD121" s="18"/>
      <c r="AG121" s="45"/>
      <c r="AH121" s="57"/>
      <c r="AI121" s="57"/>
    </row>
    <row r="122" spans="2:35" ht="12.75" customHeight="1" x14ac:dyDescent="0.25">
      <c r="B122" s="61"/>
      <c r="M122" s="61"/>
      <c r="X122" s="61"/>
      <c r="AB122" s="68"/>
      <c r="AD122" s="18"/>
      <c r="AG122" s="45"/>
      <c r="AH122" s="57"/>
      <c r="AI122" s="57"/>
    </row>
    <row r="123" spans="2:35" ht="12.75" customHeight="1" x14ac:dyDescent="0.25">
      <c r="B123" s="61"/>
      <c r="M123" s="61"/>
      <c r="X123" s="61"/>
      <c r="AB123" s="68"/>
      <c r="AD123" s="18"/>
      <c r="AG123" s="45"/>
      <c r="AH123" s="57"/>
      <c r="AI123" s="57"/>
    </row>
    <row r="124" spans="2:35" ht="12.75" customHeight="1" x14ac:dyDescent="0.25">
      <c r="B124" s="61"/>
      <c r="M124" s="61"/>
      <c r="X124" s="61"/>
      <c r="AB124" s="68"/>
      <c r="AD124" s="18"/>
      <c r="AG124" s="45"/>
      <c r="AH124" s="57"/>
      <c r="AI124" s="57"/>
    </row>
    <row r="125" spans="2:35" ht="15" customHeight="1" x14ac:dyDescent="0.25">
      <c r="B125" s="61"/>
      <c r="M125" s="61"/>
      <c r="X125" s="61"/>
      <c r="AB125" s="68"/>
      <c r="AD125" s="18"/>
      <c r="AG125" s="45"/>
      <c r="AH125" s="57"/>
      <c r="AI125" s="57"/>
    </row>
    <row r="126" spans="2:35" ht="32.25" customHeight="1" x14ac:dyDescent="0.25">
      <c r="B126" s="61"/>
      <c r="E126" s="82">
        <f>+H146</f>
        <v>0</v>
      </c>
      <c r="M126" s="61"/>
      <c r="Q126" s="82">
        <f>+C146</f>
        <v>0</v>
      </c>
      <c r="X126" s="61"/>
      <c r="AB126" s="68"/>
      <c r="AD126" s="18"/>
      <c r="AG126" s="45"/>
      <c r="AH126" s="57"/>
      <c r="AI126" s="57"/>
    </row>
    <row r="127" spans="2:35" ht="12.75" customHeight="1" x14ac:dyDescent="0.25">
      <c r="B127" s="61"/>
      <c r="M127" s="61"/>
      <c r="X127" s="61"/>
      <c r="AB127" s="68"/>
      <c r="AD127" s="18"/>
      <c r="AG127" s="45"/>
      <c r="AH127" s="57"/>
      <c r="AI127" s="57"/>
    </row>
    <row r="128" spans="2:35" ht="12.75" customHeight="1" x14ac:dyDescent="0.25">
      <c r="B128" s="61"/>
      <c r="M128" s="61"/>
      <c r="X128" s="61"/>
      <c r="AB128" s="68"/>
      <c r="AD128" s="18"/>
      <c r="AG128" s="45"/>
      <c r="AH128" s="57"/>
      <c r="AI128" s="57"/>
    </row>
    <row r="129" spans="2:35" ht="12.75" customHeight="1" x14ac:dyDescent="0.25">
      <c r="B129" s="61"/>
      <c r="M129" s="61"/>
      <c r="X129" s="61"/>
      <c r="AB129" s="68"/>
      <c r="AD129" s="18"/>
      <c r="AG129" s="45"/>
      <c r="AH129" s="57"/>
      <c r="AI129" s="57"/>
    </row>
    <row r="130" spans="2:35" ht="12.75" customHeight="1" x14ac:dyDescent="0.25">
      <c r="B130" s="61"/>
      <c r="M130" s="61"/>
      <c r="X130" s="61"/>
      <c r="AB130" s="68"/>
      <c r="AD130" s="18"/>
      <c r="AG130" s="45"/>
      <c r="AH130" s="57"/>
      <c r="AI130" s="57"/>
    </row>
    <row r="131" spans="2:35" ht="12.75" customHeight="1" x14ac:dyDescent="0.25">
      <c r="B131" s="61"/>
      <c r="M131" s="61"/>
      <c r="X131" s="61"/>
      <c r="AB131" s="68"/>
      <c r="AD131" s="18"/>
      <c r="AG131" s="45"/>
      <c r="AH131" s="57"/>
      <c r="AI131" s="57"/>
    </row>
    <row r="132" spans="2:35" ht="12.75" customHeight="1" x14ac:dyDescent="0.25">
      <c r="B132" s="61"/>
      <c r="M132" s="61"/>
      <c r="X132" s="61"/>
      <c r="AB132" s="68"/>
      <c r="AD132" s="18"/>
      <c r="AG132" s="45"/>
      <c r="AH132" s="57"/>
      <c r="AI132" s="57"/>
    </row>
    <row r="133" spans="2:35" ht="12.75" customHeight="1" x14ac:dyDescent="0.25">
      <c r="B133" s="61"/>
      <c r="M133" s="61"/>
      <c r="X133" s="61"/>
      <c r="AB133" s="68"/>
      <c r="AD133" s="18"/>
      <c r="AG133" s="45"/>
      <c r="AH133" s="57"/>
      <c r="AI133" s="57"/>
    </row>
    <row r="134" spans="2:35" ht="12.75" customHeight="1" x14ac:dyDescent="0.25">
      <c r="B134" s="61"/>
      <c r="M134" s="61"/>
      <c r="X134" s="61"/>
      <c r="AB134" s="68"/>
      <c r="AD134" s="18"/>
      <c r="AG134" s="45"/>
      <c r="AH134" s="57"/>
      <c r="AI134" s="57"/>
    </row>
    <row r="135" spans="2:35" ht="10.5" customHeight="1" x14ac:dyDescent="0.25">
      <c r="B135" s="61"/>
      <c r="M135" s="61"/>
      <c r="X135" s="61"/>
      <c r="AB135" s="68"/>
      <c r="AD135" s="18"/>
      <c r="AG135" s="45"/>
      <c r="AH135" s="57"/>
      <c r="AI135" s="57"/>
    </row>
    <row r="136" spans="2:35" ht="28.5" customHeight="1" x14ac:dyDescent="0.25">
      <c r="B136" s="61"/>
      <c r="E136" s="82">
        <f>+G146</f>
        <v>0</v>
      </c>
      <c r="M136" s="61"/>
      <c r="Q136" s="82">
        <f>+D146</f>
        <v>0</v>
      </c>
      <c r="X136" s="61"/>
      <c r="AB136" s="68"/>
      <c r="AD136" s="18"/>
      <c r="AG136" s="45"/>
      <c r="AH136" s="57"/>
      <c r="AI136" s="57"/>
    </row>
    <row r="137" spans="2:35" ht="12.75" customHeight="1" x14ac:dyDescent="0.25">
      <c r="B137" s="61"/>
      <c r="M137" s="61"/>
      <c r="X137" s="61"/>
      <c r="AB137" s="68"/>
      <c r="AD137" s="18"/>
      <c r="AG137" s="45"/>
      <c r="AH137" s="57"/>
      <c r="AI137" s="57"/>
    </row>
    <row r="138" spans="2:35" ht="12.75" customHeight="1" x14ac:dyDescent="0.25">
      <c r="B138" s="61"/>
      <c r="M138" s="61"/>
      <c r="X138" s="61"/>
      <c r="AB138" s="68"/>
      <c r="AD138" s="18"/>
      <c r="AG138" s="45"/>
      <c r="AH138" s="57"/>
      <c r="AI138" s="57"/>
    </row>
    <row r="139" spans="2:35" ht="12.75" customHeight="1" x14ac:dyDescent="0.25">
      <c r="B139" s="61"/>
      <c r="M139" s="61"/>
      <c r="X139" s="61"/>
      <c r="AB139" s="68"/>
      <c r="AD139" s="18"/>
      <c r="AG139" s="45"/>
      <c r="AH139" s="57"/>
      <c r="AI139" s="57"/>
    </row>
    <row r="140" spans="2:35" ht="26.25" customHeight="1" x14ac:dyDescent="0.25">
      <c r="B140" s="61"/>
      <c r="I140" s="82">
        <f>+F146</f>
        <v>0</v>
      </c>
      <c r="M140" s="82">
        <f>+E146</f>
        <v>0</v>
      </c>
      <c r="X140" s="61"/>
      <c r="AB140" s="68"/>
      <c r="AD140" s="18"/>
      <c r="AG140" s="45"/>
      <c r="AH140" s="57"/>
      <c r="AI140" s="57"/>
    </row>
    <row r="141" spans="2:35" ht="12.75" customHeight="1" x14ac:dyDescent="0.25">
      <c r="B141" s="61"/>
      <c r="M141" s="61"/>
      <c r="X141" s="61"/>
      <c r="AB141" s="68"/>
      <c r="AD141" s="18"/>
      <c r="AG141" s="45"/>
      <c r="AH141" s="57"/>
      <c r="AI141" s="57"/>
    </row>
    <row r="142" spans="2:35" ht="12.75" customHeight="1" x14ac:dyDescent="0.25">
      <c r="B142" s="61"/>
      <c r="M142" s="61"/>
      <c r="X142" s="61"/>
      <c r="AB142" s="68"/>
      <c r="AD142" s="18"/>
      <c r="AG142" s="45"/>
      <c r="AH142" s="57"/>
      <c r="AI142" s="57"/>
    </row>
    <row r="143" spans="2:35" ht="30.75" hidden="1" customHeight="1" x14ac:dyDescent="0.25">
      <c r="B143" s="432" t="s">
        <v>436</v>
      </c>
      <c r="C143" s="368"/>
      <c r="D143" s="368"/>
      <c r="E143" s="433"/>
      <c r="F143" s="442">
        <f>+AFIRMACIONES!C4</f>
        <v>0</v>
      </c>
      <c r="G143" s="368"/>
      <c r="H143" s="368"/>
      <c r="I143" s="368"/>
      <c r="J143" s="368"/>
      <c r="K143" s="368"/>
      <c r="L143" s="368"/>
      <c r="M143" s="368"/>
      <c r="N143" s="368"/>
      <c r="O143" s="368"/>
      <c r="P143" s="368"/>
      <c r="Q143" s="433"/>
      <c r="X143" s="61"/>
      <c r="AB143" s="68"/>
      <c r="AD143" s="18"/>
      <c r="AG143" s="83"/>
      <c r="AH143" s="72"/>
      <c r="AI143" s="57"/>
    </row>
    <row r="144" spans="2:35" ht="12.75" hidden="1" customHeight="1" x14ac:dyDescent="0.25">
      <c r="B144" s="443" t="s">
        <v>440</v>
      </c>
      <c r="C144" s="374"/>
      <c r="D144" s="374"/>
      <c r="E144" s="374"/>
      <c r="F144" s="374"/>
      <c r="G144" s="374"/>
      <c r="H144" s="374"/>
      <c r="I144" s="374"/>
      <c r="J144" s="375"/>
      <c r="L144" s="84" t="s">
        <v>441</v>
      </c>
      <c r="M144" s="444">
        <f>+AFIRMACIONES!C3</f>
        <v>0</v>
      </c>
      <c r="N144" s="433"/>
      <c r="O144" s="84" t="s">
        <v>442</v>
      </c>
      <c r="P144" s="85">
        <f>+AFIRMACIONES!HO1</f>
        <v>0</v>
      </c>
      <c r="Q144" s="445" t="s">
        <v>443</v>
      </c>
      <c r="R144" s="446"/>
      <c r="S144" s="444">
        <f>+AFIRMACIONES!C5</f>
        <v>0</v>
      </c>
      <c r="T144" s="433"/>
      <c r="X144" s="61"/>
      <c r="AB144" s="68"/>
      <c r="AD144" s="18"/>
      <c r="AG144" s="45"/>
      <c r="AH144" s="57"/>
      <c r="AI144" s="57"/>
    </row>
    <row r="145" spans="2:38" ht="12.75" hidden="1" customHeight="1" x14ac:dyDescent="0.25">
      <c r="B145" s="86">
        <v>1</v>
      </c>
      <c r="C145" s="87">
        <v>2</v>
      </c>
      <c r="D145" s="87">
        <v>3</v>
      </c>
      <c r="E145" s="87">
        <v>4</v>
      </c>
      <c r="F145" s="87">
        <v>5</v>
      </c>
      <c r="G145" s="87">
        <v>6</v>
      </c>
      <c r="H145" s="87">
        <v>7</v>
      </c>
      <c r="I145" s="87">
        <v>8</v>
      </c>
      <c r="J145" s="88">
        <v>9</v>
      </c>
      <c r="M145" s="61"/>
      <c r="N145" s="18"/>
      <c r="O145" s="84" t="s">
        <v>444</v>
      </c>
      <c r="P145" s="444">
        <f>+AFIRMACIONES!C7</f>
        <v>0</v>
      </c>
      <c r="Q145" s="368"/>
      <c r="R145" s="368"/>
      <c r="S145" s="368"/>
      <c r="T145" s="433"/>
      <c r="X145" s="61"/>
      <c r="AB145" s="68"/>
      <c r="AD145" s="18"/>
      <c r="AG145" s="45"/>
      <c r="AH145" s="57"/>
      <c r="AI145" s="57"/>
    </row>
    <row r="146" spans="2:38" ht="12.75" hidden="1" customHeight="1" x14ac:dyDescent="0.25">
      <c r="B146" s="89">
        <f t="shared" ref="B146:J146" si="8">SUM(Z79:Z81)</f>
        <v>0</v>
      </c>
      <c r="C146" s="89">
        <f t="shared" si="8"/>
        <v>0</v>
      </c>
      <c r="D146" s="89">
        <f t="shared" si="8"/>
        <v>0</v>
      </c>
      <c r="E146" s="89">
        <f t="shared" si="8"/>
        <v>0</v>
      </c>
      <c r="F146" s="89">
        <f t="shared" si="8"/>
        <v>0</v>
      </c>
      <c r="G146" s="89">
        <f t="shared" si="8"/>
        <v>0</v>
      </c>
      <c r="H146" s="89">
        <f t="shared" si="8"/>
        <v>0</v>
      </c>
      <c r="I146" s="89">
        <f t="shared" si="8"/>
        <v>0</v>
      </c>
      <c r="J146" s="89">
        <f t="shared" si="8"/>
        <v>0</v>
      </c>
      <c r="M146" s="61"/>
      <c r="N146" s="18"/>
      <c r="O146" s="84" t="s">
        <v>445</v>
      </c>
      <c r="P146" s="444">
        <f>+AFIRMACIONES!C8</f>
        <v>0</v>
      </c>
      <c r="Q146" s="368"/>
      <c r="R146" s="368"/>
      <c r="S146" s="368"/>
      <c r="T146" s="433"/>
      <c r="X146" s="61"/>
      <c r="AB146" s="68"/>
      <c r="AD146" s="18"/>
      <c r="AG146" s="45"/>
      <c r="AH146" s="57"/>
      <c r="AI146" s="57"/>
    </row>
    <row r="147" spans="2:38" ht="12.75" hidden="1" customHeight="1" x14ac:dyDescent="0.25">
      <c r="B147" s="434" t="s">
        <v>446</v>
      </c>
      <c r="C147" s="399"/>
      <c r="D147" s="90">
        <f>SUM(B146:J146)/261</f>
        <v>0</v>
      </c>
      <c r="E147" s="447" t="str">
        <f>IF(D147&lt;0.2,"NO SE PUEDE HACER EL ANÁLISIS",IF(D147&gt;0.3,"NO TIENES PROBLEMAS EN MOSTRARTE","TE CUESTA MOSTRARTE"))</f>
        <v>NO SE PUEDE HACER EL ANÁLISIS</v>
      </c>
      <c r="F147" s="398"/>
      <c r="G147" s="398"/>
      <c r="H147" s="398"/>
      <c r="I147" s="398"/>
      <c r="J147" s="399"/>
      <c r="M147" s="61"/>
      <c r="N147" s="18"/>
      <c r="O147" s="84" t="s">
        <v>447</v>
      </c>
      <c r="P147" s="444">
        <f>+AFIRMACIONES!C9</f>
        <v>0</v>
      </c>
      <c r="Q147" s="368"/>
      <c r="R147" s="368"/>
      <c r="S147" s="368"/>
      <c r="T147" s="433"/>
      <c r="X147" s="61"/>
      <c r="AB147" s="68"/>
      <c r="AD147" s="18"/>
      <c r="AG147" s="45"/>
      <c r="AH147" s="57"/>
      <c r="AI147" s="57"/>
    </row>
    <row r="148" spans="2:38" ht="12.75" hidden="1" customHeight="1" x14ac:dyDescent="0.3">
      <c r="B148" s="61"/>
      <c r="F148" s="435" t="s">
        <v>439</v>
      </c>
      <c r="G148" s="436"/>
      <c r="H148" s="91">
        <f>(MAX($B$146:$J$146)+MIN($B$146:$J$146))/2</f>
        <v>0</v>
      </c>
      <c r="M148" s="61"/>
      <c r="O148" s="84" t="s">
        <v>448</v>
      </c>
      <c r="P148" s="455" t="e">
        <f>+VLOOKUP(1,AFIRMACIONES!$C$10:$D$21,2,FALSE)</f>
        <v>#N/A</v>
      </c>
      <c r="Q148" s="433"/>
      <c r="R148" s="57"/>
      <c r="S148" s="456" t="e">
        <f>+VLOOKUP(1,AFIRMACIONES!$N$10:$O$21,2,FALSE)</f>
        <v>#N/A</v>
      </c>
      <c r="T148" s="446"/>
      <c r="X148" s="61"/>
      <c r="AB148" s="68"/>
      <c r="AD148" s="18"/>
      <c r="AG148" s="45"/>
      <c r="AH148" s="57"/>
      <c r="AI148" s="57"/>
    </row>
    <row r="149" spans="2:38" ht="12.75" hidden="1" customHeight="1" x14ac:dyDescent="0.25">
      <c r="B149" s="437" t="s">
        <v>449</v>
      </c>
      <c r="C149" s="374"/>
      <c r="D149" s="374"/>
      <c r="E149" s="374"/>
      <c r="F149" s="374"/>
      <c r="G149" s="407"/>
      <c r="H149" s="92">
        <f>COUNTIF(B146:J146,"&gt;"&amp;H148)</f>
        <v>0</v>
      </c>
      <c r="J149" s="71"/>
      <c r="M149" s="61"/>
      <c r="X149" s="61"/>
      <c r="AB149" s="68"/>
      <c r="AD149" s="18"/>
      <c r="AG149" s="45"/>
      <c r="AH149" s="57"/>
      <c r="AI149" s="57"/>
      <c r="AK149" s="70"/>
      <c r="AL149" s="71"/>
    </row>
    <row r="150" spans="2:38" ht="12.75" hidden="1" customHeight="1" x14ac:dyDescent="0.25">
      <c r="B150" s="438" t="s">
        <v>450</v>
      </c>
      <c r="C150" s="361"/>
      <c r="D150" s="361"/>
      <c r="E150" s="361"/>
      <c r="F150" s="361"/>
      <c r="G150" s="388"/>
      <c r="H150" s="93">
        <f>COUNTIF(B146:J146,"="&amp;H148)</f>
        <v>9</v>
      </c>
      <c r="L150" s="94" t="s">
        <v>451</v>
      </c>
      <c r="M150" s="457" t="s">
        <v>452</v>
      </c>
      <c r="N150" s="374"/>
      <c r="O150" s="374"/>
      <c r="P150" s="374"/>
      <c r="Q150" s="374"/>
      <c r="R150" s="374"/>
      <c r="S150" s="407"/>
      <c r="T150" s="95" t="s">
        <v>453</v>
      </c>
      <c r="X150" s="61"/>
      <c r="AB150" s="68"/>
      <c r="AD150" s="18"/>
      <c r="AG150" s="45"/>
      <c r="AH150" s="57"/>
      <c r="AI150" s="57"/>
      <c r="AK150" s="70"/>
      <c r="AL150" s="71"/>
    </row>
    <row r="151" spans="2:38" ht="12.75" hidden="1" customHeight="1" x14ac:dyDescent="0.25">
      <c r="B151" s="439" t="s">
        <v>454</v>
      </c>
      <c r="C151" s="377"/>
      <c r="D151" s="377"/>
      <c r="E151" s="377"/>
      <c r="F151" s="377"/>
      <c r="G151" s="440"/>
      <c r="H151" s="92">
        <f>COUNTIF(B146:J146,"&lt;"&amp;H148)</f>
        <v>0</v>
      </c>
      <c r="K151" s="71"/>
      <c r="L151" s="458">
        <v>1</v>
      </c>
      <c r="M151" s="448" t="e">
        <f>+VLOOKUP(L151,AFIRMACIONES!$B$305:$H$313,2,0)</f>
        <v>#N/A</v>
      </c>
      <c r="N151" s="449"/>
      <c r="O151" s="449"/>
      <c r="P151" s="449"/>
      <c r="Q151" s="449"/>
      <c r="R151" s="449"/>
      <c r="S151" s="391"/>
      <c r="T151" s="453" t="e">
        <f>+VLOOKUP(L151,AFIRMACIONES!$B$305:$N$313,13,0)</f>
        <v>#N/A</v>
      </c>
      <c r="U151" s="71"/>
      <c r="X151" s="61"/>
      <c r="AB151" s="68"/>
      <c r="AD151" s="18"/>
      <c r="AG151" s="45"/>
      <c r="AH151" s="57"/>
      <c r="AI151" s="57"/>
      <c r="AK151" s="70"/>
      <c r="AL151" s="71"/>
    </row>
    <row r="152" spans="2:38" ht="12.75" hidden="1" customHeight="1" x14ac:dyDescent="0.3">
      <c r="B152" s="441" t="s">
        <v>455</v>
      </c>
      <c r="C152" s="374"/>
      <c r="D152" s="374"/>
      <c r="E152" s="374"/>
      <c r="F152" s="374"/>
      <c r="G152" s="374"/>
      <c r="H152" s="374"/>
      <c r="I152" s="374"/>
      <c r="J152" s="375"/>
      <c r="K152" s="71"/>
      <c r="L152" s="459"/>
      <c r="M152" s="450"/>
      <c r="N152" s="451"/>
      <c r="O152" s="451"/>
      <c r="P152" s="451"/>
      <c r="Q152" s="451"/>
      <c r="R152" s="451"/>
      <c r="S152" s="452"/>
      <c r="T152" s="454"/>
      <c r="U152" s="71"/>
      <c r="X152" s="61"/>
      <c r="AB152" s="68"/>
      <c r="AD152" s="18"/>
      <c r="AG152" s="45"/>
      <c r="AH152" s="57"/>
      <c r="AI152" s="57"/>
      <c r="AK152" s="70"/>
      <c r="AL152" s="71"/>
    </row>
    <row r="153" spans="2:38" ht="12.75" hidden="1" customHeight="1" x14ac:dyDescent="0.25">
      <c r="B153" s="96">
        <v>1</v>
      </c>
      <c r="C153" s="97">
        <v>2</v>
      </c>
      <c r="D153" s="97">
        <v>3</v>
      </c>
      <c r="E153" s="97">
        <v>4</v>
      </c>
      <c r="F153" s="97">
        <v>5</v>
      </c>
      <c r="G153" s="97">
        <v>6</v>
      </c>
      <c r="H153" s="97">
        <v>7</v>
      </c>
      <c r="I153" s="97">
        <v>8</v>
      </c>
      <c r="J153" s="98">
        <v>9</v>
      </c>
      <c r="K153" s="71"/>
      <c r="L153" s="458">
        <v>2</v>
      </c>
      <c r="M153" s="448" t="e">
        <f>+VLOOKUP(L153,AFIRMACIONES!$B$305:$H$313,2,0)</f>
        <v>#N/A</v>
      </c>
      <c r="N153" s="449"/>
      <c r="O153" s="449"/>
      <c r="P153" s="449"/>
      <c r="Q153" s="449"/>
      <c r="R153" s="449"/>
      <c r="S153" s="391"/>
      <c r="T153" s="453" t="e">
        <f>+VLOOKUP(L153,AFIRMACIONES!$B$305:$N$313,13,0)</f>
        <v>#N/A</v>
      </c>
      <c r="U153" s="71"/>
      <c r="X153" s="61"/>
      <c r="AB153" s="68"/>
      <c r="AD153" s="18"/>
      <c r="AG153" s="45"/>
      <c r="AH153" s="57"/>
      <c r="AI153" s="57"/>
      <c r="AK153" s="70"/>
      <c r="AL153" s="71"/>
    </row>
    <row r="154" spans="2:38" ht="12.75" hidden="1" customHeight="1" x14ac:dyDescent="0.3">
      <c r="B154" s="99" t="str">
        <f t="shared" ref="B154:J154" si="9">+IF(B146=$H$148,"Igual",IF(B146&lt;$H$148,"Bajo","Sobre"))</f>
        <v>Igual</v>
      </c>
      <c r="C154" s="100" t="str">
        <f t="shared" si="9"/>
        <v>Igual</v>
      </c>
      <c r="D154" s="100" t="str">
        <f t="shared" si="9"/>
        <v>Igual</v>
      </c>
      <c r="E154" s="100" t="str">
        <f t="shared" si="9"/>
        <v>Igual</v>
      </c>
      <c r="F154" s="100" t="str">
        <f t="shared" si="9"/>
        <v>Igual</v>
      </c>
      <c r="G154" s="100" t="str">
        <f t="shared" si="9"/>
        <v>Igual</v>
      </c>
      <c r="H154" s="100" t="str">
        <f t="shared" si="9"/>
        <v>Igual</v>
      </c>
      <c r="I154" s="100" t="str">
        <f t="shared" si="9"/>
        <v>Igual</v>
      </c>
      <c r="J154" s="101" t="str">
        <f t="shared" si="9"/>
        <v>Igual</v>
      </c>
      <c r="K154" s="71"/>
      <c r="L154" s="459"/>
      <c r="M154" s="450"/>
      <c r="N154" s="451"/>
      <c r="O154" s="451"/>
      <c r="P154" s="451"/>
      <c r="Q154" s="451"/>
      <c r="R154" s="451"/>
      <c r="S154" s="452"/>
      <c r="T154" s="454"/>
      <c r="U154" s="102"/>
      <c r="X154" s="61"/>
      <c r="AB154" s="68"/>
      <c r="AD154" s="18"/>
      <c r="AG154" s="45"/>
      <c r="AH154" s="57"/>
      <c r="AI154" s="57"/>
      <c r="AK154" s="70"/>
      <c r="AL154" s="71"/>
    </row>
    <row r="155" spans="2:38" ht="12.75" hidden="1" customHeight="1" x14ac:dyDescent="0.3">
      <c r="B155" s="103">
        <f t="shared" ref="B155:J155" si="10">+B146-$H$148</f>
        <v>0</v>
      </c>
      <c r="C155" s="104">
        <f t="shared" si="10"/>
        <v>0</v>
      </c>
      <c r="D155" s="104">
        <f t="shared" si="10"/>
        <v>0</v>
      </c>
      <c r="E155" s="104">
        <f t="shared" si="10"/>
        <v>0</v>
      </c>
      <c r="F155" s="104">
        <f t="shared" si="10"/>
        <v>0</v>
      </c>
      <c r="G155" s="104">
        <f t="shared" si="10"/>
        <v>0</v>
      </c>
      <c r="H155" s="104">
        <f t="shared" si="10"/>
        <v>0</v>
      </c>
      <c r="I155" s="104">
        <f t="shared" si="10"/>
        <v>0</v>
      </c>
      <c r="J155" s="105">
        <f t="shared" si="10"/>
        <v>0</v>
      </c>
      <c r="K155" s="71"/>
      <c r="L155" s="458">
        <v>3</v>
      </c>
      <c r="M155" s="448" t="e">
        <f>+VLOOKUP(L155,AFIRMACIONES!$B$305:$H$313,2,0)</f>
        <v>#N/A</v>
      </c>
      <c r="N155" s="449"/>
      <c r="O155" s="449"/>
      <c r="P155" s="449"/>
      <c r="Q155" s="449"/>
      <c r="R155" s="449"/>
      <c r="S155" s="391"/>
      <c r="T155" s="453" t="e">
        <f>+VLOOKUP(L155,AFIRMACIONES!$B$305:$N$313,13,0)</f>
        <v>#N/A</v>
      </c>
      <c r="U155" s="102"/>
      <c r="X155" s="61"/>
      <c r="AB155" s="68"/>
      <c r="AD155" s="18"/>
      <c r="AG155" s="45"/>
      <c r="AH155" s="57"/>
      <c r="AI155" s="57"/>
      <c r="AK155" s="70"/>
      <c r="AL155" s="71"/>
    </row>
    <row r="156" spans="2:38" ht="12.75" hidden="1" customHeight="1" x14ac:dyDescent="0.25">
      <c r="B156" s="462" t="s">
        <v>456</v>
      </c>
      <c r="C156" s="371"/>
      <c r="D156" s="463"/>
      <c r="E156" s="106">
        <f>MAX(B146:J146)-MIN(B146:J146)</f>
        <v>0</v>
      </c>
      <c r="K156" s="71"/>
      <c r="L156" s="460"/>
      <c r="M156" s="428"/>
      <c r="N156" s="429"/>
      <c r="O156" s="429"/>
      <c r="P156" s="429"/>
      <c r="Q156" s="429"/>
      <c r="R156" s="429"/>
      <c r="S156" s="395"/>
      <c r="T156" s="461"/>
      <c r="U156" s="71"/>
      <c r="X156" s="61"/>
      <c r="AB156" s="68"/>
      <c r="AD156" s="18"/>
      <c r="AG156" s="45"/>
      <c r="AH156" s="57"/>
      <c r="AI156" s="59"/>
      <c r="AJ156" s="71"/>
      <c r="AK156" s="75"/>
      <c r="AL156" s="71"/>
    </row>
    <row r="157" spans="2:38" ht="12.75" hidden="1" customHeight="1" x14ac:dyDescent="0.3">
      <c r="B157" s="61"/>
      <c r="K157" s="71"/>
      <c r="L157" s="464" t="s">
        <v>457</v>
      </c>
      <c r="M157" s="374"/>
      <c r="N157" s="374"/>
      <c r="O157" s="374"/>
      <c r="P157" s="374"/>
      <c r="Q157" s="374"/>
      <c r="R157" s="374"/>
      <c r="S157" s="407"/>
      <c r="T157" s="95" t="s">
        <v>453</v>
      </c>
      <c r="U157" s="102"/>
      <c r="X157" s="61"/>
      <c r="AB157" s="68"/>
      <c r="AD157" s="18"/>
      <c r="AG157" s="45"/>
      <c r="AH157" s="57"/>
      <c r="AI157" s="59"/>
      <c r="AJ157" s="71"/>
    </row>
    <row r="158" spans="2:38" ht="12.75" hidden="1" customHeight="1" x14ac:dyDescent="0.3">
      <c r="B158" s="61"/>
      <c r="K158" s="71"/>
      <c r="L158" s="107">
        <v>1</v>
      </c>
      <c r="M158" s="465" t="s">
        <v>458</v>
      </c>
      <c r="N158" s="361"/>
      <c r="O158" s="388"/>
      <c r="P158" s="466" t="e">
        <f>+VLOOKUP(L158,AFIRMACIONES!$B$318:$N$326,2,0)</f>
        <v>#N/A</v>
      </c>
      <c r="Q158" s="361"/>
      <c r="R158" s="361"/>
      <c r="S158" s="388"/>
      <c r="T158" s="108" t="e">
        <f>+VLOOKUP(L158,AFIRMACIONES!$B$318:$N$326,13,0)</f>
        <v>#N/A</v>
      </c>
      <c r="U158" s="102"/>
      <c r="X158" s="61"/>
      <c r="AB158" s="68"/>
      <c r="AD158" s="18"/>
      <c r="AG158" s="45"/>
      <c r="AH158" s="57"/>
      <c r="AI158" s="57"/>
    </row>
    <row r="159" spans="2:38" ht="12.75" hidden="1" customHeight="1" x14ac:dyDescent="0.3">
      <c r="B159" s="61"/>
      <c r="K159" s="71"/>
      <c r="L159" s="109">
        <v>2</v>
      </c>
      <c r="M159" s="467" t="s">
        <v>459</v>
      </c>
      <c r="N159" s="377"/>
      <c r="O159" s="440"/>
      <c r="P159" s="468" t="e">
        <f>+VLOOKUP(L159,AFIRMACIONES!$B$318:$N$326,2,0)</f>
        <v>#N/A</v>
      </c>
      <c r="Q159" s="377"/>
      <c r="R159" s="377"/>
      <c r="S159" s="440"/>
      <c r="T159" s="110" t="e">
        <f>+VLOOKUP(L159,AFIRMACIONES!$B$318:$N$326,13,0)</f>
        <v>#N/A</v>
      </c>
      <c r="U159" s="102"/>
      <c r="X159" s="61"/>
      <c r="AB159" s="68"/>
      <c r="AD159" s="18"/>
      <c r="AG159" s="45"/>
      <c r="AH159" s="57"/>
      <c r="AI159" s="57"/>
    </row>
    <row r="160" spans="2:38" ht="12.75" hidden="1" customHeight="1" x14ac:dyDescent="0.25">
      <c r="B160" s="61"/>
      <c r="K160" s="71"/>
      <c r="M160" s="61"/>
      <c r="U160" s="71"/>
      <c r="X160" s="61"/>
      <c r="AB160" s="68"/>
      <c r="AD160" s="18"/>
      <c r="AG160" s="45"/>
      <c r="AH160" s="57"/>
      <c r="AI160" s="57"/>
    </row>
    <row r="161" spans="2:38" ht="12.75" hidden="1" customHeight="1" x14ac:dyDescent="0.3">
      <c r="B161" s="61"/>
      <c r="K161" s="71"/>
      <c r="M161" s="61"/>
      <c r="U161" s="102"/>
      <c r="X161" s="61"/>
      <c r="AB161" s="68"/>
      <c r="AD161" s="18"/>
      <c r="AG161" s="45"/>
      <c r="AH161" s="57"/>
      <c r="AI161" s="59"/>
      <c r="AJ161" s="71"/>
    </row>
    <row r="162" spans="2:38" ht="12.75" hidden="1" customHeight="1" x14ac:dyDescent="0.25">
      <c r="B162" s="61"/>
      <c r="K162" s="70"/>
      <c r="L162" s="443" t="s">
        <v>460</v>
      </c>
      <c r="M162" s="374"/>
      <c r="N162" s="374"/>
      <c r="O162" s="374"/>
      <c r="P162" s="374"/>
      <c r="Q162" s="374"/>
      <c r="R162" s="374"/>
      <c r="S162" s="374"/>
      <c r="T162" s="375"/>
      <c r="U162" s="71"/>
      <c r="X162" s="61"/>
      <c r="AB162" s="68"/>
      <c r="AD162" s="18"/>
      <c r="AG162" s="45"/>
      <c r="AH162" s="57"/>
      <c r="AI162" s="59"/>
      <c r="AJ162" s="71"/>
    </row>
    <row r="163" spans="2:38" ht="12.75" hidden="1" customHeight="1" x14ac:dyDescent="0.25">
      <c r="B163" s="111"/>
      <c r="C163" s="111"/>
      <c r="D163" s="111"/>
      <c r="E163" s="111"/>
      <c r="F163" s="111"/>
      <c r="G163" s="111"/>
      <c r="H163" s="111"/>
      <c r="I163" s="111"/>
      <c r="J163" s="111"/>
      <c r="K163" s="112"/>
      <c r="L163" s="113">
        <v>4</v>
      </c>
      <c r="M163" s="114">
        <v>5</v>
      </c>
      <c r="N163" s="114">
        <v>3</v>
      </c>
      <c r="O163" s="114">
        <v>6</v>
      </c>
      <c r="P163" s="114">
        <v>2</v>
      </c>
      <c r="Q163" s="114">
        <v>7</v>
      </c>
      <c r="R163" s="114">
        <v>1</v>
      </c>
      <c r="S163" s="114">
        <v>8</v>
      </c>
      <c r="T163" s="115">
        <v>9</v>
      </c>
      <c r="U163" s="116"/>
      <c r="W163" s="18"/>
      <c r="X163" s="61"/>
      <c r="AB163" s="68"/>
      <c r="AD163" s="18"/>
      <c r="AG163" s="45"/>
      <c r="AH163" s="57"/>
      <c r="AI163" s="59"/>
      <c r="AJ163" s="71"/>
    </row>
    <row r="164" spans="2:38" ht="12.75" hidden="1" customHeight="1" x14ac:dyDescent="0.25">
      <c r="B164" s="111"/>
      <c r="C164" s="111"/>
      <c r="D164" s="111"/>
      <c r="E164" s="111"/>
      <c r="F164" s="111"/>
      <c r="G164" s="111"/>
      <c r="H164" s="111"/>
      <c r="I164" s="111"/>
      <c r="J164" s="111"/>
      <c r="K164" s="112"/>
      <c r="L164" s="117">
        <f t="shared" ref="L164:M164" si="11">+E146</f>
        <v>0</v>
      </c>
      <c r="M164" s="118">
        <f t="shared" si="11"/>
        <v>0</v>
      </c>
      <c r="N164" s="118">
        <f>+D146</f>
        <v>0</v>
      </c>
      <c r="O164" s="118">
        <f>+G146</f>
        <v>0</v>
      </c>
      <c r="P164" s="118">
        <f>+C146</f>
        <v>0</v>
      </c>
      <c r="Q164" s="118">
        <f>+H146</f>
        <v>0</v>
      </c>
      <c r="R164" s="118">
        <f>+B146</f>
        <v>0</v>
      </c>
      <c r="S164" s="118">
        <f t="shared" ref="S164:T164" si="12">+I146</f>
        <v>0</v>
      </c>
      <c r="T164" s="119">
        <f t="shared" si="12"/>
        <v>0</v>
      </c>
      <c r="U164" s="71"/>
      <c r="W164" s="18"/>
      <c r="X164" s="61"/>
      <c r="AB164" s="68"/>
      <c r="AD164" s="18"/>
      <c r="AG164" s="45"/>
      <c r="AH164" s="57"/>
      <c r="AI164" s="59"/>
      <c r="AJ164" s="71"/>
    </row>
    <row r="165" spans="2:38" ht="12.75" hidden="1" customHeight="1" x14ac:dyDescent="0.25"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469" t="s">
        <v>461</v>
      </c>
      <c r="M165" s="470"/>
      <c r="N165" s="471" t="s">
        <v>462</v>
      </c>
      <c r="O165" s="470"/>
      <c r="P165" s="471" t="s">
        <v>463</v>
      </c>
      <c r="Q165" s="470"/>
      <c r="R165" s="471" t="s">
        <v>464</v>
      </c>
      <c r="S165" s="470"/>
      <c r="T165" s="120" t="s">
        <v>465</v>
      </c>
      <c r="U165" s="71"/>
      <c r="X165" s="61"/>
      <c r="AB165" s="68"/>
      <c r="AD165" s="18"/>
      <c r="AG165" s="45"/>
      <c r="AH165" s="57"/>
      <c r="AI165" s="59"/>
      <c r="AJ165" s="71"/>
    </row>
    <row r="166" spans="2:38" ht="17.25" hidden="1" customHeight="1" x14ac:dyDescent="0.25"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490" t="str">
        <f>+IF(AND((L164-M164)&lt;=$AG$84,(L164-M164)&gt;=-$AG$84),"EJE","NO")</f>
        <v>EJE</v>
      </c>
      <c r="M166" s="470"/>
      <c r="N166" s="491" t="str">
        <f>+IF(AND((N164-O164)&lt;=$AG$84,(N164-O164)&gt;=-$AG$84),"EJE","NO")</f>
        <v>EJE</v>
      </c>
      <c r="O166" s="470"/>
      <c r="P166" s="491" t="str">
        <f>+IF(AND((P164-Q164)&lt;=$AG$84,(P164-Q164)&gt;=-$AG$84),"EJE","NO")</f>
        <v>EJE</v>
      </c>
      <c r="Q166" s="470"/>
      <c r="R166" s="491" t="str">
        <f>+IF(AND((R164-S164)&lt;=$AG$84,(R164-S164)&gt;=-$AG$84),"EJE","NO")</f>
        <v>EJE</v>
      </c>
      <c r="S166" s="470"/>
      <c r="T166" s="121" t="s">
        <v>466</v>
      </c>
      <c r="U166" s="71"/>
      <c r="X166" s="61"/>
      <c r="AB166" s="68"/>
      <c r="AD166" s="18"/>
      <c r="AG166" s="45"/>
      <c r="AH166" s="57"/>
      <c r="AI166" s="59"/>
      <c r="AJ166" s="71"/>
    </row>
    <row r="167" spans="2:38" ht="17.25" hidden="1" customHeight="1" x14ac:dyDescent="0.25">
      <c r="B167" s="492" t="s">
        <v>467</v>
      </c>
      <c r="C167" s="398"/>
      <c r="D167" s="398"/>
      <c r="E167" s="398"/>
      <c r="F167" s="398"/>
      <c r="G167" s="398"/>
      <c r="H167" s="398"/>
      <c r="I167" s="398"/>
      <c r="J167" s="399"/>
      <c r="K167" s="111"/>
      <c r="L167" s="493" t="str">
        <f>IF(L166="EJE",(+IF(AND((L164-$H$148)&gt;=0,(M164-$H$148)&gt;=0,((L164-$H$148)+(M164-$H$148))&gt;0),"SOBRE LA MEDIA",(IF(AND((L164-$H$148)&lt;=0,(M164-$H$148)&lt;=0,((L164-$H$148)+(M164-$H$148))&lt;0),"BAJO LA MEDIA","EN LA MEDIA")))),"HAY EJE")</f>
        <v>EN LA MEDIA</v>
      </c>
      <c r="M167" s="452"/>
      <c r="N167" s="494" t="str">
        <f>IF(N166="EJE",(+IF(AND((N164-$H$148)&gt;=0,(O164-$H$148)&gt;=0,((N164-$H$148)+(O164-$H$148))&gt;0),"SOBRE LA MEDIA",(IF(AND((N164-$H$148)&lt;=0,(O164-$H$148)&lt;=0,((N164-$H$148)+(O164-$H$148))&lt;0),"BAJO LA MEDIA","EN LA MEDIA")))),"HAY EJE")</f>
        <v>EN LA MEDIA</v>
      </c>
      <c r="O167" s="452"/>
      <c r="P167" s="494" t="str">
        <f>IF(P166="EJE",(+IF(AND((P164-$H$148)&gt;=0,(Q164-$H$148)&gt;=0,((P164-$H$148)+(Q164-$H$148))&gt;0),"SOBRE LA MEDIA",(IF(AND((P164-$H$148)&lt;=0,(Q164-$H$148)&lt;=0,((P164-$H$148)+(Q164-$H$148))&lt;0),"BAJO LA MEDIA","EN LA MEDIA")))),"HAY EJE")</f>
        <v>EN LA MEDIA</v>
      </c>
      <c r="Q167" s="452"/>
      <c r="R167" s="494" t="str">
        <f>IF(R166="EJE",(+IF(AND((R164-$H$148)&gt;=0,(S164-$H$148)&gt;=0,((R164-$H$148)+(S164-$H$148))&gt;0),"SOBRE LA MEDIA",(IF(AND((R164-$H$148)&lt;=0,(S164-$H$148)&lt;=0,((R164-$H$148)+(S164-$H$148))&lt;0),"BAJO LA MEDIA","EN LA MEDIA")))),"HAY EJE")</f>
        <v>EN LA MEDIA</v>
      </c>
      <c r="S167" s="452"/>
      <c r="T167" s="122" t="str">
        <f>IF(T164&lt;$H$148,"BAJO","ALTO")</f>
        <v>ALTO</v>
      </c>
      <c r="U167" s="71"/>
      <c r="X167" s="61"/>
      <c r="AB167" s="68"/>
      <c r="AD167" s="18"/>
      <c r="AG167" s="45"/>
      <c r="AH167" s="57"/>
      <c r="AI167" s="59"/>
      <c r="AJ167" s="71"/>
    </row>
    <row r="168" spans="2:38" ht="17.25" hidden="1" customHeight="1" x14ac:dyDescent="0.25">
      <c r="B168" s="123">
        <v>1</v>
      </c>
      <c r="C168" s="95">
        <v>5</v>
      </c>
      <c r="D168" s="123">
        <v>2</v>
      </c>
      <c r="E168" s="95">
        <v>6</v>
      </c>
      <c r="F168" s="123">
        <v>3</v>
      </c>
      <c r="G168" s="95">
        <v>7</v>
      </c>
      <c r="H168" s="123">
        <v>4</v>
      </c>
      <c r="I168" s="124">
        <v>8</v>
      </c>
      <c r="J168" s="125">
        <v>9</v>
      </c>
      <c r="K168" s="111"/>
      <c r="L168" s="495" t="s">
        <v>468</v>
      </c>
      <c r="M168" s="449"/>
      <c r="N168" s="449"/>
      <c r="O168" s="449"/>
      <c r="P168" s="449"/>
      <c r="Q168" s="449"/>
      <c r="R168" s="449"/>
      <c r="S168" s="449"/>
      <c r="T168" s="496"/>
      <c r="U168" s="69"/>
      <c r="X168" s="111"/>
      <c r="AB168" s="68"/>
      <c r="AD168" s="18"/>
      <c r="AG168" s="45"/>
      <c r="AH168" s="57"/>
      <c r="AI168" s="4"/>
      <c r="AJ168" s="71"/>
    </row>
    <row r="169" spans="2:38" ht="17.25" hidden="1" customHeight="1" x14ac:dyDescent="0.25">
      <c r="B169" s="126">
        <f>+B146</f>
        <v>0</v>
      </c>
      <c r="C169" s="127">
        <f>+F146</f>
        <v>0</v>
      </c>
      <c r="D169" s="126">
        <f>+C146</f>
        <v>0</v>
      </c>
      <c r="E169" s="127">
        <f>+G146</f>
        <v>0</v>
      </c>
      <c r="F169" s="126">
        <f>+D146</f>
        <v>0</v>
      </c>
      <c r="G169" s="127">
        <f>+H146</f>
        <v>0</v>
      </c>
      <c r="H169" s="126">
        <f>+E146</f>
        <v>0</v>
      </c>
      <c r="I169" s="128">
        <f t="shared" ref="I169:J169" si="13">+I146</f>
        <v>0</v>
      </c>
      <c r="J169" s="498">
        <f t="shared" si="13"/>
        <v>0</v>
      </c>
      <c r="K169" s="111"/>
      <c r="L169" s="392"/>
      <c r="M169" s="446"/>
      <c r="N169" s="446"/>
      <c r="O169" s="446"/>
      <c r="P169" s="446"/>
      <c r="Q169" s="446"/>
      <c r="R169" s="446"/>
      <c r="S169" s="446"/>
      <c r="T169" s="497"/>
      <c r="U169" s="71"/>
      <c r="X169" s="111"/>
      <c r="AB169" s="68"/>
      <c r="AD169" s="18"/>
      <c r="AG169" s="45"/>
      <c r="AH169" s="57"/>
      <c r="AI169" s="57"/>
      <c r="AJ169" s="71"/>
    </row>
    <row r="170" spans="2:38" ht="17.25" hidden="1" customHeight="1" x14ac:dyDescent="0.25">
      <c r="B170" s="500">
        <f>(+B146+F146)/2</f>
        <v>0</v>
      </c>
      <c r="C170" s="362"/>
      <c r="D170" s="500">
        <f>(+C146+G146)/2</f>
        <v>0</v>
      </c>
      <c r="E170" s="362"/>
      <c r="F170" s="500">
        <f>(+D146+H146)/2</f>
        <v>0</v>
      </c>
      <c r="G170" s="362"/>
      <c r="H170" s="500">
        <f>(+E146+I146)/2</f>
        <v>0</v>
      </c>
      <c r="I170" s="362"/>
      <c r="J170" s="499"/>
      <c r="K170" s="111"/>
      <c r="L170" s="394"/>
      <c r="M170" s="429"/>
      <c r="N170" s="429"/>
      <c r="O170" s="429"/>
      <c r="P170" s="429"/>
      <c r="Q170" s="429"/>
      <c r="R170" s="429"/>
      <c r="S170" s="429"/>
      <c r="T170" s="430"/>
      <c r="U170" s="71"/>
      <c r="X170" s="129"/>
      <c r="AB170" s="68"/>
      <c r="AD170" s="18"/>
      <c r="AG170" s="45"/>
      <c r="AH170" s="57"/>
      <c r="AI170" s="57"/>
      <c r="AJ170" s="71"/>
    </row>
    <row r="171" spans="2:38" ht="17.25" hidden="1" customHeight="1" x14ac:dyDescent="0.35">
      <c r="B171" s="501" t="s">
        <v>469</v>
      </c>
      <c r="C171" s="378"/>
      <c r="D171" s="502" t="s">
        <v>470</v>
      </c>
      <c r="E171" s="378"/>
      <c r="F171" s="503" t="s">
        <v>471</v>
      </c>
      <c r="G171" s="378"/>
      <c r="H171" s="504" t="s">
        <v>472</v>
      </c>
      <c r="I171" s="378"/>
      <c r="J171" s="130" t="s">
        <v>473</v>
      </c>
      <c r="K171" s="131" t="s">
        <v>474</v>
      </c>
      <c r="L171" s="132"/>
      <c r="M171" s="132"/>
      <c r="N171" s="132"/>
      <c r="O171" s="132"/>
      <c r="P171" s="132"/>
      <c r="U171" s="71"/>
      <c r="X171" s="61"/>
      <c r="AB171" s="68"/>
      <c r="AD171" s="18"/>
      <c r="AG171" s="45"/>
      <c r="AH171" s="57"/>
      <c r="AI171" s="57"/>
    </row>
    <row r="172" spans="2:38" ht="17.25" hidden="1" customHeight="1" x14ac:dyDescent="0.35">
      <c r="B172" s="505" t="str">
        <f>IF(B170=MIN($B$170:$I$170),"Eje más bajo",IF(B170=MAX($B170:$I170),"Eje más alto","Eje"))</f>
        <v>Eje más bajo</v>
      </c>
      <c r="C172" s="366"/>
      <c r="D172" s="505" t="str">
        <f>IF(D170=MIN($B$170:$I$170),"Eje más bajo",IF(D170=MAX($B170:$I170),"Eje más alto","Eje"))</f>
        <v>Eje más bajo</v>
      </c>
      <c r="E172" s="366"/>
      <c r="F172" s="505" t="str">
        <f>IF(F170=MIN($B$170:$I$170),"Eje más bajo",IF(F170=MAX($B170:$I170),"Eje más alto","Eje"))</f>
        <v>Eje más bajo</v>
      </c>
      <c r="G172" s="366"/>
      <c r="H172" s="505" t="str">
        <f>IF(H170=MIN($B$170:$I$170),"Eje más bajo",IF(H170=MAX($B170:$I170),"Eje más alto","Eje"))</f>
        <v>Eje más bajo</v>
      </c>
      <c r="I172" s="517"/>
      <c r="J172" s="518" t="str">
        <f>IF(J146&gt;H148,"Sobre Media","Bajo Media")</f>
        <v>Bajo Media</v>
      </c>
      <c r="K172" s="133">
        <v>9.16</v>
      </c>
      <c r="L172" s="132"/>
      <c r="M172" s="132"/>
      <c r="N172" s="132"/>
      <c r="O172" s="132"/>
      <c r="P172" s="132"/>
      <c r="Q172" s="424" t="s">
        <v>475</v>
      </c>
      <c r="R172" s="365"/>
      <c r="S172" s="365"/>
      <c r="T172" s="366"/>
      <c r="U172" s="71"/>
      <c r="X172" s="61"/>
      <c r="AB172" s="68"/>
      <c r="AD172" s="18"/>
      <c r="AG172" s="45"/>
      <c r="AH172" s="57"/>
      <c r="AI172" s="18"/>
      <c r="AJ172" s="18"/>
      <c r="AK172" s="18"/>
      <c r="AL172" s="18"/>
    </row>
    <row r="173" spans="2:38" ht="17.25" hidden="1" customHeight="1" x14ac:dyDescent="0.25">
      <c r="B173" s="513" t="str">
        <f>IF(B170&gt;$H$148,"Sobre Media","Bajo Media")</f>
        <v>Bajo Media</v>
      </c>
      <c r="C173" s="372"/>
      <c r="D173" s="513" t="str">
        <f>IF(D170&gt;$H$148,"Sobre Media","Bajo Media")</f>
        <v>Bajo Media</v>
      </c>
      <c r="E173" s="372"/>
      <c r="F173" s="513" t="str">
        <f>IF(F170&gt;$H$148,"Sobre Media","Bajo Media")</f>
        <v>Bajo Media</v>
      </c>
      <c r="G173" s="372"/>
      <c r="H173" s="513" t="str">
        <f>IF(H170&gt;$H$148,"Sobre Media","Bajo Media")</f>
        <v>Bajo Media</v>
      </c>
      <c r="I173" s="436"/>
      <c r="J173" s="519"/>
      <c r="K173" s="520" t="s">
        <v>476</v>
      </c>
      <c r="L173" s="446"/>
      <c r="M173" s="446"/>
      <c r="N173" s="520" t="s">
        <v>477</v>
      </c>
      <c r="O173" s="446"/>
      <c r="P173" s="446"/>
      <c r="Q173" s="416" t="s">
        <v>478</v>
      </c>
      <c r="R173" s="365"/>
      <c r="S173" s="365"/>
      <c r="T173" s="366"/>
      <c r="U173" s="71"/>
      <c r="X173" s="61"/>
      <c r="AB173" s="68"/>
      <c r="AD173" s="18"/>
      <c r="AG173" s="45"/>
      <c r="AH173" s="57"/>
      <c r="AI173" s="18"/>
      <c r="AJ173" s="18"/>
      <c r="AK173" s="18"/>
      <c r="AL173" s="18"/>
    </row>
    <row r="174" spans="2:38" ht="17.25" hidden="1" customHeight="1" x14ac:dyDescent="0.25">
      <c r="B174" s="514" t="s">
        <v>479</v>
      </c>
      <c r="C174" s="371"/>
      <c r="D174" s="463"/>
      <c r="E174" s="135">
        <f>MAX(B170:I170)</f>
        <v>0</v>
      </c>
      <c r="F174" s="111"/>
      <c r="G174" s="111"/>
      <c r="H174" s="111"/>
      <c r="I174" s="136"/>
      <c r="J174" s="111"/>
      <c r="K174" s="521" t="s">
        <v>480</v>
      </c>
      <c r="L174" s="446"/>
      <c r="M174" s="446"/>
      <c r="N174" s="446"/>
      <c r="O174" s="446"/>
      <c r="P174" s="497"/>
      <c r="Q174" s="137" t="s">
        <v>453</v>
      </c>
      <c r="R174" s="522" t="s">
        <v>481</v>
      </c>
      <c r="S174" s="374"/>
      <c r="T174" s="375"/>
      <c r="U174" s="71"/>
      <c r="X174" s="61"/>
      <c r="AB174" s="68"/>
      <c r="AD174" s="18"/>
      <c r="AG174" s="45"/>
      <c r="AH174" s="57"/>
      <c r="AI174" s="18"/>
      <c r="AJ174" s="18"/>
      <c r="AK174" s="18"/>
      <c r="AL174" s="18"/>
    </row>
    <row r="175" spans="2:38" ht="17.25" hidden="1" customHeight="1" x14ac:dyDescent="0.25">
      <c r="B175" s="515" t="s">
        <v>482</v>
      </c>
      <c r="C175" s="398"/>
      <c r="D175" s="516"/>
      <c r="E175" s="127">
        <f>MIN(B170:I170)</f>
        <v>0</v>
      </c>
      <c r="F175" s="111"/>
      <c r="G175" s="111"/>
      <c r="H175" s="111"/>
      <c r="I175" s="111"/>
      <c r="J175" s="111"/>
      <c r="K175" s="523" t="s">
        <v>483</v>
      </c>
      <c r="L175" s="446"/>
      <c r="M175" s="446"/>
      <c r="N175" s="446"/>
      <c r="O175" s="446"/>
      <c r="P175" s="446"/>
      <c r="Q175" s="139">
        <v>2</v>
      </c>
      <c r="R175" s="140">
        <f>+C146</f>
        <v>0</v>
      </c>
      <c r="S175" s="141" t="s">
        <v>420</v>
      </c>
      <c r="T175" s="142">
        <f>SUM(R175:R177)</f>
        <v>0</v>
      </c>
      <c r="X175" s="61"/>
      <c r="AB175" s="68"/>
      <c r="AD175" s="18"/>
      <c r="AG175" s="45"/>
      <c r="AH175" s="57"/>
      <c r="AI175" s="18"/>
      <c r="AJ175" s="18"/>
      <c r="AK175" s="18"/>
      <c r="AL175" s="18"/>
    </row>
    <row r="176" spans="2:38" ht="17.25" hidden="1" customHeight="1" x14ac:dyDescent="0.25">
      <c r="B176" s="515" t="s">
        <v>484</v>
      </c>
      <c r="C176" s="398"/>
      <c r="D176" s="516"/>
      <c r="E176" s="143">
        <f>+E174-E175</f>
        <v>0</v>
      </c>
      <c r="F176" s="506" t="str">
        <f>+IF(E176&lt;=3.5,"Trabajar un poco",IF(E176&gt;7,"Trabajar mucho","Trabajo moderado"))</f>
        <v>Trabajar un poco</v>
      </c>
      <c r="G176" s="398"/>
      <c r="H176" s="399"/>
      <c r="I176" s="144"/>
      <c r="J176" s="144"/>
      <c r="M176" s="61"/>
      <c r="Q176" s="139">
        <v>3</v>
      </c>
      <c r="R176" s="140">
        <f>+D146</f>
        <v>0</v>
      </c>
      <c r="S176" s="145" t="s">
        <v>485</v>
      </c>
      <c r="T176" s="146" t="e">
        <f>+T175/$AI$82</f>
        <v>#DIV/0!</v>
      </c>
      <c r="U176" s="71"/>
      <c r="X176" s="61"/>
      <c r="AB176" s="68"/>
      <c r="AD176" s="18"/>
      <c r="AG176" s="45"/>
      <c r="AH176" s="57"/>
      <c r="AI176" s="18"/>
      <c r="AJ176" s="18"/>
      <c r="AK176" s="18"/>
      <c r="AL176" s="18"/>
    </row>
    <row r="177" spans="1:51" ht="17.25" hidden="1" customHeight="1" x14ac:dyDescent="0.25">
      <c r="B177" s="492" t="s">
        <v>486</v>
      </c>
      <c r="C177" s="398"/>
      <c r="D177" s="398"/>
      <c r="E177" s="398"/>
      <c r="F177" s="398"/>
      <c r="G177" s="398"/>
      <c r="H177" s="398"/>
      <c r="I177" s="398"/>
      <c r="J177" s="398"/>
      <c r="K177" s="398"/>
      <c r="L177" s="399"/>
      <c r="M177" s="61"/>
      <c r="Q177" s="147">
        <v>4</v>
      </c>
      <c r="R177" s="148">
        <f>+E146</f>
        <v>0</v>
      </c>
      <c r="S177" s="149" t="s">
        <v>487</v>
      </c>
      <c r="T177" s="150" t="e">
        <f>IF(T176=MIN($T$176,$T$180,$T$184),"MENOR",IF(T176=MAX($T$176,$T$180,$T$184),"MAYOR","MEDIO"))</f>
        <v>#DIV/0!</v>
      </c>
      <c r="X177" s="61"/>
      <c r="AB177" s="68"/>
      <c r="AC177" s="111"/>
      <c r="AD177" s="18"/>
      <c r="AG177" s="45"/>
      <c r="AH177" s="57"/>
      <c r="AI177" s="57"/>
      <c r="AJ177" s="18"/>
      <c r="AK177" s="18"/>
      <c r="AL177" s="18"/>
    </row>
    <row r="178" spans="1:51" ht="17.25" hidden="1" customHeight="1" x14ac:dyDescent="0.25">
      <c r="B178" s="151" t="s">
        <v>453</v>
      </c>
      <c r="C178" s="507" t="s">
        <v>488</v>
      </c>
      <c r="D178" s="374"/>
      <c r="E178" s="375"/>
      <c r="F178" s="152" t="s">
        <v>453</v>
      </c>
      <c r="G178" s="508" t="s">
        <v>489</v>
      </c>
      <c r="H178" s="374"/>
      <c r="I178" s="375"/>
      <c r="J178" s="509" t="s">
        <v>453</v>
      </c>
      <c r="K178" s="511" t="s">
        <v>490</v>
      </c>
      <c r="L178" s="427"/>
      <c r="M178" s="61"/>
      <c r="Q178" s="153" t="s">
        <v>453</v>
      </c>
      <c r="R178" s="524" t="s">
        <v>491</v>
      </c>
      <c r="S178" s="374"/>
      <c r="T178" s="375"/>
      <c r="X178" s="61"/>
      <c r="AB178" s="68"/>
      <c r="AC178" s="111"/>
      <c r="AD178" s="18"/>
      <c r="AG178" s="45"/>
      <c r="AH178" s="57"/>
      <c r="AI178" s="57"/>
      <c r="AJ178" s="18"/>
      <c r="AK178" s="18"/>
      <c r="AL178" s="18"/>
    </row>
    <row r="179" spans="1:51" ht="17.25" hidden="1" customHeight="1" x14ac:dyDescent="0.25">
      <c r="B179" s="154">
        <v>1</v>
      </c>
      <c r="C179" s="155">
        <f>+B146</f>
        <v>0</v>
      </c>
      <c r="D179" s="156" t="s">
        <v>420</v>
      </c>
      <c r="E179" s="157">
        <f>SUM(C179:C182)</f>
        <v>0</v>
      </c>
      <c r="F179" s="158">
        <v>4</v>
      </c>
      <c r="G179" s="155">
        <f>+E146</f>
        <v>0</v>
      </c>
      <c r="H179" s="159" t="s">
        <v>420</v>
      </c>
      <c r="I179" s="160">
        <f>SUM(G179:G182)</f>
        <v>0</v>
      </c>
      <c r="J179" s="510"/>
      <c r="K179" s="450"/>
      <c r="L179" s="512"/>
      <c r="M179" s="61"/>
      <c r="Q179" s="161">
        <v>5</v>
      </c>
      <c r="R179" s="140">
        <f>+F146</f>
        <v>0</v>
      </c>
      <c r="S179" s="162" t="s">
        <v>420</v>
      </c>
      <c r="T179" s="142">
        <f>SUM(R179:R181)</f>
        <v>0</v>
      </c>
      <c r="X179" s="61"/>
      <c r="AB179" s="68"/>
      <c r="AC179" s="111"/>
      <c r="AD179" s="18"/>
      <c r="AG179" s="45"/>
      <c r="AH179" s="57"/>
      <c r="AI179" s="57"/>
      <c r="AJ179" s="18"/>
      <c r="AK179" s="18"/>
      <c r="AL179" s="18"/>
    </row>
    <row r="180" spans="1:51" ht="17.25" hidden="1" customHeight="1" x14ac:dyDescent="0.25">
      <c r="B180" s="154">
        <v>2</v>
      </c>
      <c r="C180" s="155">
        <f>+C146</f>
        <v>0</v>
      </c>
      <c r="D180" s="163" t="s">
        <v>492</v>
      </c>
      <c r="E180" s="164">
        <f>+E179/4</f>
        <v>0</v>
      </c>
      <c r="F180" s="158">
        <v>5</v>
      </c>
      <c r="G180" s="155">
        <f>+F146</f>
        <v>0</v>
      </c>
      <c r="H180" s="165" t="s">
        <v>492</v>
      </c>
      <c r="I180" s="166">
        <f>+I179/4</f>
        <v>0</v>
      </c>
      <c r="J180" s="167">
        <v>9</v>
      </c>
      <c r="K180" s="168" t="s">
        <v>493</v>
      </c>
      <c r="L180" s="166">
        <f>+J146</f>
        <v>0</v>
      </c>
      <c r="M180" s="61"/>
      <c r="Q180" s="161">
        <v>6</v>
      </c>
      <c r="R180" s="140">
        <f>+G146</f>
        <v>0</v>
      </c>
      <c r="S180" s="169" t="s">
        <v>485</v>
      </c>
      <c r="T180" s="146" t="e">
        <f>+T179/$AI$82</f>
        <v>#DIV/0!</v>
      </c>
      <c r="X180" s="61"/>
      <c r="AB180" s="18"/>
      <c r="AC180" s="57"/>
      <c r="AD180" s="18"/>
      <c r="AG180" s="45"/>
      <c r="AH180" s="57"/>
      <c r="AI180" s="57"/>
      <c r="AJ180" s="18"/>
      <c r="AK180" s="18"/>
      <c r="AL180" s="18"/>
    </row>
    <row r="181" spans="1:51" ht="17.25" hidden="1" customHeight="1" x14ac:dyDescent="0.25">
      <c r="B181" s="154">
        <v>3</v>
      </c>
      <c r="C181" s="155">
        <f>+D146</f>
        <v>0</v>
      </c>
      <c r="D181" s="170" t="s">
        <v>485</v>
      </c>
      <c r="E181" s="171" t="e">
        <f>+E180/(+$E$180+$I$180+$L$180)</f>
        <v>#DIV/0!</v>
      </c>
      <c r="F181" s="158">
        <v>6</v>
      </c>
      <c r="G181" s="48">
        <f>+G146</f>
        <v>0</v>
      </c>
      <c r="H181" s="172" t="s">
        <v>485</v>
      </c>
      <c r="I181" s="146" t="e">
        <f>+I180/(+$E$180+$I$180+$L$180)</f>
        <v>#DIV/0!</v>
      </c>
      <c r="J181" s="4"/>
      <c r="K181" s="173" t="s">
        <v>485</v>
      </c>
      <c r="L181" s="146" t="e">
        <f>+L180/(+$E$180+$I$180+$L$180)</f>
        <v>#DIV/0!</v>
      </c>
      <c r="M181" s="61"/>
      <c r="Q181" s="174">
        <v>7</v>
      </c>
      <c r="R181" s="148">
        <f>+H146</f>
        <v>0</v>
      </c>
      <c r="S181" s="175" t="s">
        <v>487</v>
      </c>
      <c r="T181" s="150" t="e">
        <f>IF(T180=MIN($T$176,$T$180,$T$184),"MENOR",IF(T180=MAX($T$176,$T$180,$T$184),"MAYOR","MEDIO"))</f>
        <v>#DIV/0!</v>
      </c>
      <c r="X181" s="61"/>
      <c r="AB181" s="68"/>
      <c r="AC181" s="111"/>
      <c r="AD181" s="18"/>
      <c r="AE181" s="57"/>
      <c r="AG181" s="45"/>
      <c r="AH181" s="57"/>
      <c r="AI181" s="57"/>
      <c r="AJ181" s="18"/>
      <c r="AK181" s="18"/>
      <c r="AL181" s="18"/>
    </row>
    <row r="182" spans="1:51" ht="17.25" hidden="1" customHeight="1" x14ac:dyDescent="0.25">
      <c r="B182" s="176">
        <v>8</v>
      </c>
      <c r="C182" s="177">
        <f>+I146</f>
        <v>0</v>
      </c>
      <c r="D182" s="178" t="s">
        <v>487</v>
      </c>
      <c r="E182" s="179" t="str">
        <f>IF(E180=MIN($E$180,$I$180,$L$180),"MENOR",IF(E180=MAX($E$180,$I$180,$L$180),"MAYOR","MEDIO"))</f>
        <v>MENOR</v>
      </c>
      <c r="F182" s="180">
        <v>7</v>
      </c>
      <c r="G182" s="181">
        <f>+H146</f>
        <v>0</v>
      </c>
      <c r="H182" s="182" t="s">
        <v>487</v>
      </c>
      <c r="I182" s="179" t="str">
        <f>IF(I180=MIN($E$180,$I$180,$L$180),"MENOR",IF(I180=MAX($E$180,$I$180,$L$180),"MAYOR","MEDIO"))</f>
        <v>MENOR</v>
      </c>
      <c r="J182" s="183"/>
      <c r="K182" s="184" t="s">
        <v>487</v>
      </c>
      <c r="L182" s="185" t="str">
        <f>IF(L180=MIN($E$180,$I$180,$L$180),"MENOR",IF(L180=MAX($E$180,$I$180,$L$180),"MAYOR","MEDIO"))</f>
        <v>MENOR</v>
      </c>
      <c r="M182" s="61"/>
      <c r="N182" s="183"/>
      <c r="Q182" s="186" t="s">
        <v>453</v>
      </c>
      <c r="R182" s="420" t="s">
        <v>494</v>
      </c>
      <c r="S182" s="374"/>
      <c r="T182" s="375"/>
      <c r="V182" s="18"/>
      <c r="X182" s="61"/>
      <c r="AB182" s="18"/>
      <c r="AC182" s="111"/>
      <c r="AD182" s="18"/>
      <c r="AE182" s="57"/>
      <c r="AG182" s="4"/>
      <c r="AH182" s="4"/>
      <c r="AI182" s="57"/>
      <c r="AJ182" s="18"/>
      <c r="AK182" s="18"/>
      <c r="AL182" s="18"/>
    </row>
    <row r="183" spans="1:51" ht="17.25" hidden="1" customHeight="1" x14ac:dyDescent="0.25">
      <c r="B183" s="61"/>
      <c r="M183" s="61"/>
      <c r="N183" s="18"/>
      <c r="Q183" s="187">
        <v>8</v>
      </c>
      <c r="R183" s="140">
        <f>+I146</f>
        <v>0</v>
      </c>
      <c r="S183" s="188" t="s">
        <v>420</v>
      </c>
      <c r="T183" s="142">
        <f>SUM(R183:R185)</f>
        <v>0</v>
      </c>
      <c r="V183" s="18"/>
      <c r="X183" s="61"/>
      <c r="AB183" s="68"/>
      <c r="AD183" s="18"/>
      <c r="AG183" s="45"/>
      <c r="AH183" s="57"/>
      <c r="AI183" s="57"/>
      <c r="AK183" s="18"/>
      <c r="AL183" s="18"/>
    </row>
    <row r="184" spans="1:51" ht="17.25" hidden="1" customHeight="1" x14ac:dyDescent="0.25">
      <c r="B184" s="492" t="s">
        <v>495</v>
      </c>
      <c r="C184" s="398"/>
      <c r="D184" s="398"/>
      <c r="E184" s="398"/>
      <c r="F184" s="398"/>
      <c r="G184" s="398"/>
      <c r="H184" s="398"/>
      <c r="I184" s="398"/>
      <c r="J184" s="398"/>
      <c r="K184" s="398"/>
      <c r="L184" s="398"/>
      <c r="M184" s="398"/>
      <c r="N184" s="398"/>
      <c r="O184" s="399"/>
      <c r="Q184" s="187">
        <v>9</v>
      </c>
      <c r="R184" s="140">
        <f>+J146</f>
        <v>0</v>
      </c>
      <c r="S184" s="189" t="s">
        <v>485</v>
      </c>
      <c r="T184" s="146" t="e">
        <f>+T183/$AI$82</f>
        <v>#DIV/0!</v>
      </c>
      <c r="V184" s="18"/>
      <c r="X184" s="61"/>
      <c r="AB184" s="68"/>
      <c r="AD184" s="18"/>
      <c r="AG184" s="45"/>
      <c r="AH184" s="57"/>
      <c r="AI184" s="57"/>
      <c r="AK184" s="18"/>
      <c r="AL184" s="18"/>
    </row>
    <row r="185" spans="1:51" ht="17.25" hidden="1" customHeight="1" x14ac:dyDescent="0.25">
      <c r="B185" s="525" t="s">
        <v>496</v>
      </c>
      <c r="C185" s="371"/>
      <c r="D185" s="371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2"/>
      <c r="Q185" s="190">
        <v>1</v>
      </c>
      <c r="R185" s="148">
        <f>+B146</f>
        <v>0</v>
      </c>
      <c r="S185" s="191" t="s">
        <v>487</v>
      </c>
      <c r="T185" s="150" t="e">
        <f>IF(T184=MIN($T$176,$T$180,$T$184),"MENOR",IF(T184=MAX($T$176,$T$180,$T$184),"MAYOR","MEDIO"))</f>
        <v>#DIV/0!</v>
      </c>
      <c r="V185" s="18"/>
      <c r="X185" s="61"/>
      <c r="AB185" s="68"/>
      <c r="AD185" s="18"/>
      <c r="AG185" s="45"/>
      <c r="AH185" s="57"/>
      <c r="AI185" s="57"/>
      <c r="AK185" s="18"/>
      <c r="AL185" s="18"/>
    </row>
    <row r="186" spans="1:51" ht="17.25" hidden="1" customHeight="1" x14ac:dyDescent="0.25">
      <c r="A186" s="18"/>
      <c r="B186" s="527" t="s">
        <v>497</v>
      </c>
      <c r="C186" s="427"/>
      <c r="D186" s="528" t="s">
        <v>498</v>
      </c>
      <c r="E186" s="529"/>
      <c r="F186" s="530"/>
      <c r="G186" s="531" t="s">
        <v>499</v>
      </c>
      <c r="H186" s="529"/>
      <c r="I186" s="530"/>
      <c r="J186" s="532" t="s">
        <v>500</v>
      </c>
      <c r="K186" s="529"/>
      <c r="L186" s="530"/>
      <c r="M186" s="527" t="s">
        <v>501</v>
      </c>
      <c r="N186" s="426"/>
      <c r="O186" s="427"/>
      <c r="P186" s="18"/>
      <c r="Q186" s="424" t="s">
        <v>475</v>
      </c>
      <c r="R186" s="365"/>
      <c r="S186" s="365"/>
      <c r="T186" s="366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</row>
    <row r="187" spans="1:51" ht="17.25" hidden="1" customHeight="1" x14ac:dyDescent="0.25">
      <c r="A187" s="18"/>
      <c r="B187" s="394"/>
      <c r="C187" s="430"/>
      <c r="D187" s="192" t="s">
        <v>453</v>
      </c>
      <c r="E187" s="193" t="s">
        <v>493</v>
      </c>
      <c r="F187" s="194" t="s">
        <v>487</v>
      </c>
      <c r="G187" s="195" t="s">
        <v>453</v>
      </c>
      <c r="H187" s="196" t="s">
        <v>493</v>
      </c>
      <c r="I187" s="197" t="s">
        <v>487</v>
      </c>
      <c r="J187" s="198" t="s">
        <v>453</v>
      </c>
      <c r="K187" s="199" t="s">
        <v>493</v>
      </c>
      <c r="L187" s="200" t="s">
        <v>487</v>
      </c>
      <c r="M187" s="394"/>
      <c r="N187" s="429"/>
      <c r="O187" s="430"/>
      <c r="P187" s="18"/>
      <c r="Q187" s="416" t="s">
        <v>502</v>
      </c>
      <c r="R187" s="365"/>
      <c r="S187" s="365"/>
      <c r="T187" s="366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</row>
    <row r="188" spans="1:51" ht="17.25" hidden="1" customHeight="1" x14ac:dyDescent="0.25">
      <c r="A188" s="18"/>
      <c r="B188" s="412" t="s">
        <v>503</v>
      </c>
      <c r="C188" s="413"/>
      <c r="D188" s="201">
        <v>8</v>
      </c>
      <c r="E188" s="202">
        <f>+I146</f>
        <v>0</v>
      </c>
      <c r="F188" s="203" t="str">
        <f t="shared" ref="F188:F190" si="14">IF(E188=MIN($E$188:$E$190),"Menor",IF(E188=MAX($E$188:$E$190),"Mayor","Medio"))</f>
        <v>Menor</v>
      </c>
      <c r="G188" s="204">
        <v>2</v>
      </c>
      <c r="H188" s="205">
        <f>+C146</f>
        <v>0</v>
      </c>
      <c r="I188" s="203" t="str">
        <f t="shared" ref="I188:I190" si="15">IF(H188=MIN($H$188:$H$190),"Menor",IF(H188=MAX($H$188:$H$190),"Mayor","Medio"))</f>
        <v>Menor</v>
      </c>
      <c r="J188" s="206">
        <v>5</v>
      </c>
      <c r="K188" s="202">
        <f>+F146</f>
        <v>0</v>
      </c>
      <c r="L188" s="203" t="str">
        <f t="shared" ref="L188:L190" si="16">IF(K188=MIN($K$188:$K$190),"Menor",IF(K188=MAX($K$188:$K$190),"Mayor","Medio"))</f>
        <v>Menor</v>
      </c>
      <c r="M188" s="207">
        <f t="shared" ref="M188:M190" si="17">+E188+H188+K188</f>
        <v>0</v>
      </c>
      <c r="N188" s="208" t="e">
        <f t="shared" ref="N188:N190" si="18">+M188/$AI$82</f>
        <v>#DIV/0!</v>
      </c>
      <c r="O188" s="209" t="e">
        <f t="shared" ref="O188:O190" si="19">IF(N188=MIN($N$188:$N$190),"MENOR",IF(N188=MAX($N$188:$N$190),"MAYOR","MEDIO"))</f>
        <v>#DIV/0!</v>
      </c>
      <c r="P188" s="18"/>
      <c r="Q188" s="210" t="s">
        <v>453</v>
      </c>
      <c r="R188" s="526" t="s">
        <v>504</v>
      </c>
      <c r="S188" s="374"/>
      <c r="T188" s="375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</row>
    <row r="189" spans="1:51" ht="17.25" hidden="1" customHeight="1" x14ac:dyDescent="0.25">
      <c r="A189" s="18"/>
      <c r="B189" s="412" t="s">
        <v>505</v>
      </c>
      <c r="C189" s="413"/>
      <c r="D189" s="201">
        <v>9</v>
      </c>
      <c r="E189" s="202">
        <f>+J146</f>
        <v>0</v>
      </c>
      <c r="F189" s="203" t="str">
        <f t="shared" si="14"/>
        <v>Menor</v>
      </c>
      <c r="G189" s="204">
        <v>3</v>
      </c>
      <c r="H189" s="202">
        <f>+D146</f>
        <v>0</v>
      </c>
      <c r="I189" s="203" t="str">
        <f t="shared" si="15"/>
        <v>Menor</v>
      </c>
      <c r="J189" s="206">
        <v>6</v>
      </c>
      <c r="K189" s="202">
        <f>+G146</f>
        <v>0</v>
      </c>
      <c r="L189" s="203" t="str">
        <f t="shared" si="16"/>
        <v>Menor</v>
      </c>
      <c r="M189" s="211">
        <f t="shared" si="17"/>
        <v>0</v>
      </c>
      <c r="N189" s="212" t="e">
        <f t="shared" si="18"/>
        <v>#DIV/0!</v>
      </c>
      <c r="O189" s="213" t="e">
        <f t="shared" si="19"/>
        <v>#DIV/0!</v>
      </c>
      <c r="P189" s="18"/>
      <c r="Q189" s="214">
        <v>1</v>
      </c>
      <c r="R189" s="140">
        <f>+B146</f>
        <v>0</v>
      </c>
      <c r="S189" s="215" t="s">
        <v>420</v>
      </c>
      <c r="T189" s="142">
        <f>SUM(R189:R191)</f>
        <v>0</v>
      </c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</row>
    <row r="190" spans="1:51" ht="17.25" hidden="1" customHeight="1" x14ac:dyDescent="0.25">
      <c r="A190" s="18"/>
      <c r="B190" s="412" t="s">
        <v>506</v>
      </c>
      <c r="C190" s="413"/>
      <c r="D190" s="201">
        <v>1</v>
      </c>
      <c r="E190" s="202">
        <f>+B146</f>
        <v>0</v>
      </c>
      <c r="F190" s="203" t="str">
        <f t="shared" si="14"/>
        <v>Menor</v>
      </c>
      <c r="G190" s="204">
        <v>4</v>
      </c>
      <c r="H190" s="202">
        <f>+E146</f>
        <v>0</v>
      </c>
      <c r="I190" s="203" t="str">
        <f t="shared" si="15"/>
        <v>Menor</v>
      </c>
      <c r="J190" s="206">
        <v>7</v>
      </c>
      <c r="K190" s="202">
        <f>+H146</f>
        <v>0</v>
      </c>
      <c r="L190" s="203" t="str">
        <f t="shared" si="16"/>
        <v>Menor</v>
      </c>
      <c r="M190" s="211">
        <f t="shared" si="17"/>
        <v>0</v>
      </c>
      <c r="N190" s="212" t="e">
        <f t="shared" si="18"/>
        <v>#DIV/0!</v>
      </c>
      <c r="O190" s="213" t="e">
        <f t="shared" si="19"/>
        <v>#DIV/0!</v>
      </c>
      <c r="P190" s="18"/>
      <c r="Q190" s="214">
        <v>3</v>
      </c>
      <c r="R190" s="140">
        <f>+D146</f>
        <v>0</v>
      </c>
      <c r="S190" s="216" t="s">
        <v>485</v>
      </c>
      <c r="T190" s="146" t="e">
        <f>+T189/$AI$82</f>
        <v>#DIV/0!</v>
      </c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</row>
    <row r="191" spans="1:51" ht="17.25" hidden="1" customHeight="1" x14ac:dyDescent="0.25">
      <c r="A191" s="18"/>
      <c r="B191" s="217"/>
      <c r="C191" s="218"/>
      <c r="D191" s="219" t="s">
        <v>420</v>
      </c>
      <c r="E191" s="220">
        <f>SUM(E188:E190)</f>
        <v>0</v>
      </c>
      <c r="F191" s="221"/>
      <c r="G191" s="222" t="s">
        <v>420</v>
      </c>
      <c r="H191" s="220">
        <f>SUM(H188:H190)</f>
        <v>0</v>
      </c>
      <c r="I191" s="18"/>
      <c r="J191" s="223" t="s">
        <v>420</v>
      </c>
      <c r="K191" s="220">
        <f>SUM(K188:K190)</f>
        <v>0</v>
      </c>
      <c r="L191" s="224"/>
      <c r="M191" s="225"/>
      <c r="N191" s="225"/>
      <c r="O191" s="18"/>
      <c r="P191" s="18"/>
      <c r="Q191" s="226">
        <v>7</v>
      </c>
      <c r="R191" s="148">
        <f>+H146</f>
        <v>0</v>
      </c>
      <c r="S191" s="227" t="s">
        <v>487</v>
      </c>
      <c r="T191" s="150" t="e">
        <f>IF(T190=MIN($T$190,$T$194,$T$198),"MENOR",IF(T190=MAX($T$190,$T$194,$T$198),"MAYOR","MEDIO"))</f>
        <v>#DIV/0!</v>
      </c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</row>
    <row r="192" spans="1:51" ht="17.25" hidden="1" customHeight="1" x14ac:dyDescent="0.25">
      <c r="A192" s="18"/>
      <c r="B192" s="18"/>
      <c r="C192" s="228"/>
      <c r="D192" s="229" t="s">
        <v>485</v>
      </c>
      <c r="E192" s="146" t="e">
        <f>+E191/$AI$82</f>
        <v>#DIV/0!</v>
      </c>
      <c r="F192" s="230"/>
      <c r="G192" s="231" t="s">
        <v>485</v>
      </c>
      <c r="H192" s="146" t="e">
        <f>+H191/$AI$82</f>
        <v>#DIV/0!</v>
      </c>
      <c r="I192" s="232"/>
      <c r="J192" s="233" t="s">
        <v>485</v>
      </c>
      <c r="K192" s="146" t="e">
        <f>+K191/$AI$82</f>
        <v>#DIV/0!</v>
      </c>
      <c r="L192" s="18"/>
      <c r="M192" s="18"/>
      <c r="N192" s="18"/>
      <c r="O192" s="18"/>
      <c r="P192" s="18"/>
      <c r="Q192" s="234" t="s">
        <v>453</v>
      </c>
      <c r="R192" s="414" t="s">
        <v>507</v>
      </c>
      <c r="S192" s="374"/>
      <c r="T192" s="375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57"/>
      <c r="AI192" s="57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</row>
    <row r="193" spans="1:51" ht="17.25" hidden="1" customHeight="1" x14ac:dyDescent="0.25">
      <c r="A193" s="18"/>
      <c r="B193" s="18"/>
      <c r="C193" s="228"/>
      <c r="D193" s="235" t="s">
        <v>487</v>
      </c>
      <c r="E193" s="150" t="e">
        <f>IF(E192=MIN($E$192,$H$192,$K$192),"MENOR",IF(E192=MAX($E$192,$H$192,$K$192),"MAYOR","MEDIO"))</f>
        <v>#DIV/0!</v>
      </c>
      <c r="F193" s="236"/>
      <c r="G193" s="237" t="s">
        <v>487</v>
      </c>
      <c r="H193" s="150" t="e">
        <f>IF(H192=MIN($E$192,$H$192,$K$192),"MENOR",IF(H192=MAX($E$192,$H$192,$K$192),"MAYOR","MEDIO"))</f>
        <v>#DIV/0!</v>
      </c>
      <c r="I193" s="236"/>
      <c r="J193" s="238" t="s">
        <v>487</v>
      </c>
      <c r="K193" s="150" t="e">
        <f>IF(K192=MIN($E$192,$H$192,$K$192),"MENOR",IF(K192=MAX($E$192,$H$192,$K$192),"MAYOR","MEDIO"))</f>
        <v>#DIV/0!</v>
      </c>
      <c r="L193" s="239"/>
      <c r="M193" s="71"/>
      <c r="N193" s="71"/>
      <c r="O193" s="18"/>
      <c r="P193" s="18"/>
      <c r="Q193" s="240">
        <v>2</v>
      </c>
      <c r="R193" s="140">
        <f>+C146</f>
        <v>0</v>
      </c>
      <c r="S193" s="241" t="s">
        <v>420</v>
      </c>
      <c r="T193" s="142">
        <f>SUM(R193:R195)</f>
        <v>0</v>
      </c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57"/>
      <c r="AI193" s="57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</row>
    <row r="194" spans="1:51" ht="17.25" hidden="1" customHeight="1" x14ac:dyDescent="0.25">
      <c r="A194" s="18"/>
      <c r="B194" s="18"/>
      <c r="C194" s="415" t="s">
        <v>508</v>
      </c>
      <c r="D194" s="398"/>
      <c r="E194" s="398"/>
      <c r="F194" s="399"/>
      <c r="G194" s="416" t="s">
        <v>509</v>
      </c>
      <c r="H194" s="365"/>
      <c r="I194" s="365"/>
      <c r="J194" s="366"/>
      <c r="K194" s="416" t="s">
        <v>510</v>
      </c>
      <c r="L194" s="365"/>
      <c r="M194" s="365"/>
      <c r="N194" s="366"/>
      <c r="O194" s="18"/>
      <c r="P194" s="18"/>
      <c r="Q194" s="240">
        <v>5</v>
      </c>
      <c r="R194" s="140">
        <f>+F146</f>
        <v>0</v>
      </c>
      <c r="S194" s="242" t="s">
        <v>485</v>
      </c>
      <c r="T194" s="146" t="e">
        <f>+T193/$AI$82</f>
        <v>#DIV/0!</v>
      </c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</row>
    <row r="195" spans="1:51" ht="17.25" hidden="1" customHeight="1" x14ac:dyDescent="0.25">
      <c r="A195" s="18"/>
      <c r="B195" s="18"/>
      <c r="C195" s="243" t="s">
        <v>453</v>
      </c>
      <c r="D195" s="417" t="s">
        <v>511</v>
      </c>
      <c r="E195" s="374"/>
      <c r="F195" s="375"/>
      <c r="G195" s="244" t="s">
        <v>453</v>
      </c>
      <c r="H195" s="419" t="s">
        <v>512</v>
      </c>
      <c r="I195" s="374"/>
      <c r="J195" s="375"/>
      <c r="K195" s="186" t="s">
        <v>453</v>
      </c>
      <c r="L195" s="420" t="s">
        <v>513</v>
      </c>
      <c r="M195" s="374"/>
      <c r="N195" s="375"/>
      <c r="O195" s="18"/>
      <c r="P195" s="18"/>
      <c r="Q195" s="245">
        <v>9</v>
      </c>
      <c r="R195" s="148">
        <f>+J146</f>
        <v>0</v>
      </c>
      <c r="S195" s="246" t="s">
        <v>487</v>
      </c>
      <c r="T195" s="150" t="e">
        <f>IF(T194=MIN($T$190,$T$194,$T$198),"MENOR",IF(T194=MAX($T$190,$T$194,$T$198),"MAYOR","MEDIO"))</f>
        <v>#DIV/0!</v>
      </c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</row>
    <row r="196" spans="1:51" ht="17.25" hidden="1" customHeight="1" x14ac:dyDescent="0.25">
      <c r="A196" s="18"/>
      <c r="B196" s="18"/>
      <c r="C196" s="247">
        <v>1</v>
      </c>
      <c r="D196" s="48">
        <f>+B146</f>
        <v>0</v>
      </c>
      <c r="E196" s="248" t="s">
        <v>420</v>
      </c>
      <c r="F196" s="142">
        <f>SUM(D196:D198)</f>
        <v>0</v>
      </c>
      <c r="G196" s="249">
        <v>3</v>
      </c>
      <c r="H196" s="48">
        <f>+D146</f>
        <v>0</v>
      </c>
      <c r="I196" s="250" t="s">
        <v>420</v>
      </c>
      <c r="J196" s="142">
        <f>SUM(H196:H198)</f>
        <v>0</v>
      </c>
      <c r="K196" s="251">
        <v>6</v>
      </c>
      <c r="L196" s="48">
        <f>+G146</f>
        <v>0</v>
      </c>
      <c r="M196" s="188" t="s">
        <v>420</v>
      </c>
      <c r="N196" s="142">
        <f>SUM(L196:L198)</f>
        <v>0</v>
      </c>
      <c r="O196" s="18"/>
      <c r="P196" s="18"/>
      <c r="Q196" s="252" t="s">
        <v>453</v>
      </c>
      <c r="R196" s="418" t="s">
        <v>514</v>
      </c>
      <c r="S196" s="365"/>
      <c r="T196" s="366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</row>
    <row r="197" spans="1:51" ht="17.25" hidden="1" customHeight="1" x14ac:dyDescent="0.25">
      <c r="A197" s="18"/>
      <c r="B197" s="18"/>
      <c r="C197" s="247">
        <v>3</v>
      </c>
      <c r="D197" s="48">
        <f>+D146</f>
        <v>0</v>
      </c>
      <c r="E197" s="253" t="s">
        <v>485</v>
      </c>
      <c r="F197" s="146" t="e">
        <f>+F196/$AI$82</f>
        <v>#DIV/0!</v>
      </c>
      <c r="G197" s="249">
        <v>7</v>
      </c>
      <c r="H197" s="48">
        <f>+H146</f>
        <v>0</v>
      </c>
      <c r="I197" s="254" t="s">
        <v>485</v>
      </c>
      <c r="J197" s="146" t="e">
        <f>+J196/$AI$82</f>
        <v>#DIV/0!</v>
      </c>
      <c r="K197" s="251">
        <v>4</v>
      </c>
      <c r="L197" s="48">
        <f>+E146</f>
        <v>0</v>
      </c>
      <c r="M197" s="189" t="s">
        <v>485</v>
      </c>
      <c r="N197" s="146" t="e">
        <f>+N196/$AI$82</f>
        <v>#DIV/0!</v>
      </c>
      <c r="O197" s="18"/>
      <c r="P197" s="18"/>
      <c r="Q197" s="255">
        <v>4</v>
      </c>
      <c r="R197" s="140">
        <f>+E146</f>
        <v>0</v>
      </c>
      <c r="S197" s="256" t="s">
        <v>420</v>
      </c>
      <c r="T197" s="142">
        <f>SUM(R197:R199)</f>
        <v>0</v>
      </c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</row>
    <row r="198" spans="1:51" ht="17.25" hidden="1" customHeight="1" x14ac:dyDescent="0.25">
      <c r="A198" s="18"/>
      <c r="B198" s="18"/>
      <c r="C198" s="257">
        <v>8</v>
      </c>
      <c r="D198" s="258">
        <f>+I146</f>
        <v>0</v>
      </c>
      <c r="E198" s="259" t="s">
        <v>487</v>
      </c>
      <c r="F198" s="150" t="e">
        <f>IF(F197=MIN($F$205,$F$201,$F$197),"MENOR",IF(F197=MAX($F$205,$F$201,$F$197),"MAYOR","MEDIO"))</f>
        <v>#DIV/0!</v>
      </c>
      <c r="G198" s="260">
        <v>8</v>
      </c>
      <c r="H198" s="261">
        <f>+I146</f>
        <v>0</v>
      </c>
      <c r="I198" s="262" t="s">
        <v>487</v>
      </c>
      <c r="J198" s="150" t="e">
        <f>IF(J197=MIN($J$197,$J$201,$J$205),"MENOR",IF(J197=MAX($J$197,$J$201,$J$205),"MAYOR","MEDIO"))</f>
        <v>#DIV/0!</v>
      </c>
      <c r="K198" s="263">
        <v>8</v>
      </c>
      <c r="L198" s="261">
        <f>+I146</f>
        <v>0</v>
      </c>
      <c r="M198" s="191" t="s">
        <v>487</v>
      </c>
      <c r="N198" s="150" t="e">
        <f>IF(N197=MIN($N$197,$N$201,$N$205),"MENOR",IF(N197=MAX($N$197,$N$201,$N$205),"MAYOR","MEDIO"))</f>
        <v>#DIV/0!</v>
      </c>
      <c r="O198" s="18"/>
      <c r="P198" s="18"/>
      <c r="Q198" s="255">
        <v>6</v>
      </c>
      <c r="R198" s="140">
        <f>+G146</f>
        <v>0</v>
      </c>
      <c r="S198" s="264" t="s">
        <v>485</v>
      </c>
      <c r="T198" s="146" t="e">
        <f>+T197/$AI$82</f>
        <v>#DIV/0!</v>
      </c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</row>
    <row r="199" spans="1:51" ht="17.25" hidden="1" customHeight="1" x14ac:dyDescent="0.25">
      <c r="A199" s="18"/>
      <c r="B199" s="18"/>
      <c r="C199" s="265" t="s">
        <v>453</v>
      </c>
      <c r="D199" s="421" t="s">
        <v>515</v>
      </c>
      <c r="E199" s="374"/>
      <c r="F199" s="375"/>
      <c r="G199" s="266" t="s">
        <v>453</v>
      </c>
      <c r="H199" s="422" t="s">
        <v>516</v>
      </c>
      <c r="I199" s="374"/>
      <c r="J199" s="375"/>
      <c r="K199" s="267" t="s">
        <v>453</v>
      </c>
      <c r="L199" s="423" t="s">
        <v>517</v>
      </c>
      <c r="M199" s="374"/>
      <c r="N199" s="375"/>
      <c r="O199" s="18"/>
      <c r="P199" s="18"/>
      <c r="Q199" s="268">
        <v>8</v>
      </c>
      <c r="R199" s="148">
        <f>+I146</f>
        <v>0</v>
      </c>
      <c r="S199" s="269" t="s">
        <v>487</v>
      </c>
      <c r="T199" s="150" t="e">
        <f>IF(T198=MIN($T$190,$T$194,$T$198),"MENOR",IF(T198=MAX($T$190,$T$194,$T$198),"MAYOR","MEDIO"))</f>
        <v>#DIV/0!</v>
      </c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</row>
    <row r="200" spans="1:51" ht="17.25" hidden="1" customHeight="1" x14ac:dyDescent="0.25">
      <c r="A200" s="18"/>
      <c r="B200" s="18"/>
      <c r="C200" s="270">
        <v>2</v>
      </c>
      <c r="D200" s="48">
        <f>+C146</f>
        <v>0</v>
      </c>
      <c r="E200" s="271" t="s">
        <v>420</v>
      </c>
      <c r="F200" s="142">
        <f>SUM(D200:D202)</f>
        <v>0</v>
      </c>
      <c r="G200" s="272">
        <v>1</v>
      </c>
      <c r="H200" s="48">
        <f>+B146</f>
        <v>0</v>
      </c>
      <c r="I200" s="273" t="s">
        <v>420</v>
      </c>
      <c r="J200" s="142">
        <f>SUM(H200:H202)</f>
        <v>0</v>
      </c>
      <c r="K200" s="274">
        <v>3</v>
      </c>
      <c r="L200" s="48">
        <f>+D146</f>
        <v>0</v>
      </c>
      <c r="M200" s="275" t="s">
        <v>420</v>
      </c>
      <c r="N200" s="142">
        <f>SUM(L200:L202)</f>
        <v>0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</row>
    <row r="201" spans="1:51" ht="17.25" hidden="1" customHeight="1" x14ac:dyDescent="0.25">
      <c r="A201" s="18"/>
      <c r="B201" s="18"/>
      <c r="C201" s="270">
        <v>6</v>
      </c>
      <c r="D201" s="48">
        <f>+G146</f>
        <v>0</v>
      </c>
      <c r="E201" s="276" t="s">
        <v>485</v>
      </c>
      <c r="F201" s="146" t="e">
        <f>+F200/$AI$82</f>
        <v>#DIV/0!</v>
      </c>
      <c r="G201" s="272">
        <v>2</v>
      </c>
      <c r="H201" s="48">
        <f>+C146</f>
        <v>0</v>
      </c>
      <c r="I201" s="277" t="s">
        <v>485</v>
      </c>
      <c r="J201" s="146" t="e">
        <f>+J200/$AI$82</f>
        <v>#DIV/0!</v>
      </c>
      <c r="K201" s="274">
        <v>1</v>
      </c>
      <c r="L201" s="48">
        <f>+B146</f>
        <v>0</v>
      </c>
      <c r="M201" s="278" t="s">
        <v>485</v>
      </c>
      <c r="N201" s="146" t="e">
        <f>+N200/$AI$82</f>
        <v>#DIV/0!</v>
      </c>
      <c r="O201" s="18"/>
      <c r="P201" s="424" t="s">
        <v>518</v>
      </c>
      <c r="Q201" s="365"/>
      <c r="R201" s="365"/>
      <c r="S201" s="365"/>
      <c r="T201" s="366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</row>
    <row r="202" spans="1:51" ht="17.25" hidden="1" customHeight="1" x14ac:dyDescent="0.25">
      <c r="A202" s="18"/>
      <c r="B202" s="18"/>
      <c r="C202" s="279">
        <v>7</v>
      </c>
      <c r="D202" s="261">
        <f>+H146</f>
        <v>0</v>
      </c>
      <c r="E202" s="280" t="s">
        <v>487</v>
      </c>
      <c r="F202" s="150" t="e">
        <f>IF(F201=MIN($F$205,$F$201,$F$197),"MENOR",IF(F201=MAX($F$205,$F$201,$F$197),"MAYOR","MEDIO"))</f>
        <v>#DIV/0!</v>
      </c>
      <c r="G202" s="281">
        <v>6</v>
      </c>
      <c r="H202" s="258">
        <f>+G146</f>
        <v>0</v>
      </c>
      <c r="I202" s="282" t="s">
        <v>487</v>
      </c>
      <c r="J202" s="150" t="e">
        <f>IF(J201=MIN($J$197,$J$201,$J$205),"MENOR",IF(J201=MAX($J$197,$J$201,$J$205),"MAYOR","MEDIO"))</f>
        <v>#DIV/0!</v>
      </c>
      <c r="K202" s="283">
        <v>5</v>
      </c>
      <c r="L202" s="258">
        <f>+F146</f>
        <v>0</v>
      </c>
      <c r="M202" s="284" t="s">
        <v>487</v>
      </c>
      <c r="N202" s="150" t="e">
        <f>IF(N201=MIN($N$197,$N$201,$N$205),"MENOR",IF(N201=MAX($N$197,$N$201,$N$205),"MAYOR","MEDIO"))</f>
        <v>#DIV/0!</v>
      </c>
      <c r="O202" s="18"/>
      <c r="P202" s="285">
        <v>1</v>
      </c>
      <c r="Q202" s="425" t="str">
        <f>IF(Y90=1,AA90,"No")</f>
        <v>No</v>
      </c>
      <c r="R202" s="426"/>
      <c r="S202" s="426"/>
      <c r="T202" s="427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</row>
    <row r="203" spans="1:51" ht="17.25" hidden="1" customHeight="1" x14ac:dyDescent="0.25">
      <c r="A203" s="18"/>
      <c r="B203" s="18"/>
      <c r="C203" s="286" t="s">
        <v>453</v>
      </c>
      <c r="D203" s="537" t="s">
        <v>519</v>
      </c>
      <c r="E203" s="374"/>
      <c r="F203" s="375"/>
      <c r="G203" s="287" t="s">
        <v>453</v>
      </c>
      <c r="H203" s="538" t="s">
        <v>520</v>
      </c>
      <c r="I203" s="374"/>
      <c r="J203" s="375"/>
      <c r="K203" s="288" t="s">
        <v>453</v>
      </c>
      <c r="L203" s="431" t="s">
        <v>521</v>
      </c>
      <c r="M203" s="374"/>
      <c r="N203" s="375"/>
      <c r="O203" s="18"/>
      <c r="P203" s="289">
        <f>+B155</f>
        <v>0</v>
      </c>
      <c r="Q203" s="428"/>
      <c r="R203" s="429"/>
      <c r="S203" s="429"/>
      <c r="T203" s="430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</row>
    <row r="204" spans="1:51" ht="17.25" hidden="1" customHeight="1" x14ac:dyDescent="0.25">
      <c r="A204" s="18"/>
      <c r="B204" s="18"/>
      <c r="C204" s="290">
        <v>4</v>
      </c>
      <c r="D204" s="155">
        <f>+E146</f>
        <v>0</v>
      </c>
      <c r="E204" s="291" t="s">
        <v>420</v>
      </c>
      <c r="F204" s="142">
        <f>SUM(D204:D206)</f>
        <v>0</v>
      </c>
      <c r="G204" s="292">
        <v>4</v>
      </c>
      <c r="H204" s="155">
        <f>+E146</f>
        <v>0</v>
      </c>
      <c r="I204" s="293" t="s">
        <v>420</v>
      </c>
      <c r="J204" s="142">
        <f>SUM(H204:H206)</f>
        <v>0</v>
      </c>
      <c r="K204" s="294">
        <v>9</v>
      </c>
      <c r="L204" s="155">
        <f>+J146</f>
        <v>0</v>
      </c>
      <c r="M204" s="295" t="s">
        <v>420</v>
      </c>
      <c r="N204" s="142">
        <f>SUM(L204:L206)</f>
        <v>0</v>
      </c>
      <c r="O204" s="18"/>
      <c r="P204" s="285">
        <v>2</v>
      </c>
      <c r="Q204" s="425" t="str">
        <f>IF(Y91=1,AA91,"No")</f>
        <v>No</v>
      </c>
      <c r="R204" s="426"/>
      <c r="S204" s="426"/>
      <c r="T204" s="427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</row>
    <row r="205" spans="1:51" ht="17.25" hidden="1" customHeight="1" x14ac:dyDescent="0.25">
      <c r="A205" s="18"/>
      <c r="B205" s="18"/>
      <c r="C205" s="290">
        <v>5</v>
      </c>
      <c r="D205" s="155">
        <f>+F146</f>
        <v>0</v>
      </c>
      <c r="E205" s="296" t="s">
        <v>485</v>
      </c>
      <c r="F205" s="146" t="e">
        <f>+F204/$AI$82</f>
        <v>#DIV/0!</v>
      </c>
      <c r="G205" s="292">
        <v>5</v>
      </c>
      <c r="H205" s="155">
        <f>+F146</f>
        <v>0</v>
      </c>
      <c r="I205" s="297" t="s">
        <v>485</v>
      </c>
      <c r="J205" s="146" t="e">
        <f>+J204/$AI$82</f>
        <v>#DIV/0!</v>
      </c>
      <c r="K205" s="294">
        <v>2</v>
      </c>
      <c r="L205" s="155">
        <f>+C146</f>
        <v>0</v>
      </c>
      <c r="M205" s="298" t="s">
        <v>485</v>
      </c>
      <c r="N205" s="146" t="e">
        <f>+N204/$AI$82</f>
        <v>#DIV/0!</v>
      </c>
      <c r="O205" s="18"/>
      <c r="P205" s="289">
        <f>+C155</f>
        <v>0</v>
      </c>
      <c r="Q205" s="428"/>
      <c r="R205" s="429"/>
      <c r="S205" s="429"/>
      <c r="T205" s="430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</row>
    <row r="206" spans="1:51" ht="17.25" hidden="1" customHeight="1" x14ac:dyDescent="0.25">
      <c r="A206" s="18"/>
      <c r="B206" s="18"/>
      <c r="C206" s="299">
        <v>9</v>
      </c>
      <c r="D206" s="261">
        <f>+J146</f>
        <v>0</v>
      </c>
      <c r="E206" s="300" t="s">
        <v>487</v>
      </c>
      <c r="F206" s="150" t="e">
        <f>IF(F205=MIN($F$205,$F$201,$F$197),"MENOR",IF(F205=MAX($F$205,$F$201,$F$197),"MAYOR","MEDIO"))</f>
        <v>#DIV/0!</v>
      </c>
      <c r="G206" s="301">
        <v>9</v>
      </c>
      <c r="H206" s="261">
        <f>+J146</f>
        <v>0</v>
      </c>
      <c r="I206" s="302" t="s">
        <v>487</v>
      </c>
      <c r="J206" s="150" t="e">
        <f>IF(J205=MIN($J$197,$J$201,$J$205),"MENOR",IF(J205=MAX($J$197,$J$201,$J$205),"MAYOR","MEDIO"))</f>
        <v>#DIV/0!</v>
      </c>
      <c r="K206" s="303">
        <v>7</v>
      </c>
      <c r="L206" s="261">
        <f>+H146</f>
        <v>0</v>
      </c>
      <c r="M206" s="304" t="s">
        <v>487</v>
      </c>
      <c r="N206" s="150" t="e">
        <f>IF(N205=MIN($N$197,$N$201,$N$205),"MENOR",IF(N205=MAX($N$197,$N$201,$N$205),"MAYOR","MEDIO"))</f>
        <v>#DIV/0!</v>
      </c>
      <c r="O206" s="18"/>
      <c r="P206" s="285">
        <v>3</v>
      </c>
      <c r="Q206" s="425" t="str">
        <f>IF(Y92=1,AA92,"No")</f>
        <v>No</v>
      </c>
      <c r="R206" s="426"/>
      <c r="S206" s="426"/>
      <c r="T206" s="427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</row>
    <row r="207" spans="1:51" ht="17.25" hidden="1" customHeight="1" x14ac:dyDescent="0.25">
      <c r="A207" s="18"/>
      <c r="B207" s="71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289">
        <f>+D155</f>
        <v>0</v>
      </c>
      <c r="Q207" s="428"/>
      <c r="R207" s="429"/>
      <c r="S207" s="429"/>
      <c r="T207" s="430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</row>
    <row r="208" spans="1:51" ht="17.25" hidden="1" customHeight="1" x14ac:dyDescent="0.25">
      <c r="A208" s="18"/>
      <c r="B208" s="539" t="s">
        <v>522</v>
      </c>
      <c r="C208" s="305" t="s">
        <v>523</v>
      </c>
      <c r="D208" s="305" t="s">
        <v>524</v>
      </c>
      <c r="E208" s="472" t="s">
        <v>352</v>
      </c>
      <c r="F208" s="407"/>
      <c r="G208" s="472" t="s">
        <v>353</v>
      </c>
      <c r="H208" s="407"/>
      <c r="I208" s="472" t="s">
        <v>354</v>
      </c>
      <c r="J208" s="407"/>
      <c r="K208" s="472" t="s">
        <v>355</v>
      </c>
      <c r="L208" s="407"/>
      <c r="M208" s="472" t="s">
        <v>356</v>
      </c>
      <c r="N208" s="375"/>
      <c r="O208" s="18"/>
      <c r="P208" s="285">
        <v>4</v>
      </c>
      <c r="Q208" s="425" t="str">
        <f>IF(Y93=1,AA93,"No")</f>
        <v>No</v>
      </c>
      <c r="R208" s="426"/>
      <c r="S208" s="426"/>
      <c r="T208" s="427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</row>
    <row r="209" spans="1:51" ht="17.25" hidden="1" customHeight="1" x14ac:dyDescent="0.25">
      <c r="A209" s="18"/>
      <c r="B209" s="540"/>
      <c r="C209" s="533" t="e">
        <f>+VLOOKUP(1,$AJ$2:$AY$11,5,FALSE)</f>
        <v>#N/A</v>
      </c>
      <c r="D209" s="535" t="e">
        <f>+VLOOKUP(1,$AJ$2:$AY$11,6,FALSE)</f>
        <v>#N/A</v>
      </c>
      <c r="E209" s="536" t="e">
        <f>+VLOOKUP(1,$AJ$2:$AY$11,7,FALSE)</f>
        <v>#N/A</v>
      </c>
      <c r="F209" s="391"/>
      <c r="G209" s="536" t="e">
        <f>+VLOOKUP(1,$AJ$2:$AY$11,9,FALSE)</f>
        <v>#N/A</v>
      </c>
      <c r="H209" s="391"/>
      <c r="I209" s="536" t="e">
        <f>+VLOOKUP(1,$AJ$2:$AY$11,11,FALSE)</f>
        <v>#N/A</v>
      </c>
      <c r="J209" s="391"/>
      <c r="K209" s="536" t="e">
        <f>+VLOOKUP(1,$AJ$2:$AY$11,13,FALSE)</f>
        <v>#N/A</v>
      </c>
      <c r="L209" s="391"/>
      <c r="M209" s="536" t="e">
        <f>+VLOOKUP(1,$AJ$2:$AY$11,15,FALSE)</f>
        <v>#N/A</v>
      </c>
      <c r="N209" s="496"/>
      <c r="O209" s="18"/>
      <c r="P209" s="289">
        <f>+E155</f>
        <v>0</v>
      </c>
      <c r="Q209" s="428"/>
      <c r="R209" s="429"/>
      <c r="S209" s="429"/>
      <c r="T209" s="430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</row>
    <row r="210" spans="1:51" ht="17.25" hidden="1" customHeight="1" x14ac:dyDescent="0.25">
      <c r="A210" s="18"/>
      <c r="B210" s="540"/>
      <c r="C210" s="484"/>
      <c r="D210" s="484"/>
      <c r="E210" s="482"/>
      <c r="F210" s="393"/>
      <c r="G210" s="482"/>
      <c r="H210" s="393"/>
      <c r="I210" s="482"/>
      <c r="J210" s="393"/>
      <c r="K210" s="482"/>
      <c r="L210" s="393"/>
      <c r="M210" s="482"/>
      <c r="N210" s="497"/>
      <c r="O210" s="18"/>
      <c r="P210" s="285">
        <v>5</v>
      </c>
      <c r="Q210" s="425" t="str">
        <f>IF(Y94=1,AA94,"No")</f>
        <v>No</v>
      </c>
      <c r="R210" s="426"/>
      <c r="S210" s="426"/>
      <c r="T210" s="427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</row>
    <row r="211" spans="1:51" ht="17.25" hidden="1" customHeight="1" x14ac:dyDescent="0.25">
      <c r="B211" s="540"/>
      <c r="C211" s="484"/>
      <c r="D211" s="484"/>
      <c r="E211" s="482"/>
      <c r="F211" s="393"/>
      <c r="G211" s="482"/>
      <c r="H211" s="393"/>
      <c r="I211" s="482"/>
      <c r="J211" s="393"/>
      <c r="K211" s="482"/>
      <c r="L211" s="393"/>
      <c r="M211" s="482"/>
      <c r="N211" s="497"/>
      <c r="P211" s="289">
        <f>+F155</f>
        <v>0</v>
      </c>
      <c r="Q211" s="428"/>
      <c r="R211" s="429"/>
      <c r="S211" s="429"/>
      <c r="T211" s="430"/>
      <c r="U211" s="71"/>
      <c r="X211" s="61"/>
      <c r="AB211" s="68"/>
      <c r="AD211" s="18"/>
      <c r="AG211" s="45"/>
      <c r="AH211" s="57"/>
      <c r="AI211" s="57"/>
    </row>
    <row r="212" spans="1:51" ht="17.25" hidden="1" customHeight="1" x14ac:dyDescent="0.25">
      <c r="B212" s="540"/>
      <c r="C212" s="484"/>
      <c r="D212" s="484"/>
      <c r="E212" s="482"/>
      <c r="F212" s="393"/>
      <c r="G212" s="482"/>
      <c r="H212" s="393"/>
      <c r="I212" s="482"/>
      <c r="J212" s="393"/>
      <c r="K212" s="482"/>
      <c r="L212" s="393"/>
      <c r="M212" s="482"/>
      <c r="N212" s="497"/>
      <c r="P212" s="285">
        <v>6</v>
      </c>
      <c r="Q212" s="425" t="str">
        <f>IF(Y95=1,AA95,"No")</f>
        <v>No</v>
      </c>
      <c r="R212" s="426"/>
      <c r="S212" s="426"/>
      <c r="T212" s="427"/>
      <c r="X212" s="61"/>
      <c r="AB212" s="68"/>
      <c r="AD212" s="18"/>
      <c r="AG212" s="45"/>
      <c r="AH212" s="57"/>
      <c r="AI212" s="57"/>
    </row>
    <row r="213" spans="1:51" ht="17.25" hidden="1" customHeight="1" x14ac:dyDescent="0.25">
      <c r="B213" s="540"/>
      <c r="C213" s="484"/>
      <c r="D213" s="484"/>
      <c r="E213" s="482"/>
      <c r="F213" s="393"/>
      <c r="G213" s="482"/>
      <c r="H213" s="393"/>
      <c r="I213" s="482"/>
      <c r="J213" s="393"/>
      <c r="K213" s="482"/>
      <c r="L213" s="393"/>
      <c r="M213" s="482"/>
      <c r="N213" s="497"/>
      <c r="P213" s="289">
        <f>+G155</f>
        <v>0</v>
      </c>
      <c r="Q213" s="428"/>
      <c r="R213" s="429"/>
      <c r="S213" s="429"/>
      <c r="T213" s="430"/>
      <c r="X213" s="61"/>
      <c r="AB213" s="68"/>
      <c r="AD213" s="18"/>
      <c r="AG213" s="45"/>
      <c r="AH213" s="57"/>
      <c r="AI213" s="57"/>
    </row>
    <row r="214" spans="1:51" ht="17.25" hidden="1" customHeight="1" x14ac:dyDescent="0.25">
      <c r="B214" s="540"/>
      <c r="C214" s="484"/>
      <c r="D214" s="484"/>
      <c r="E214" s="482"/>
      <c r="F214" s="393"/>
      <c r="G214" s="482"/>
      <c r="H214" s="393"/>
      <c r="I214" s="482"/>
      <c r="J214" s="393"/>
      <c r="K214" s="482"/>
      <c r="L214" s="393"/>
      <c r="M214" s="482"/>
      <c r="N214" s="497"/>
      <c r="P214" s="285">
        <v>7</v>
      </c>
      <c r="Q214" s="425" t="str">
        <f>IF(Y96=1,AA96,"No")</f>
        <v>No</v>
      </c>
      <c r="R214" s="426"/>
      <c r="S214" s="426"/>
      <c r="T214" s="427"/>
      <c r="X214" s="61"/>
      <c r="AB214" s="68"/>
      <c r="AD214" s="18"/>
      <c r="AG214" s="45"/>
      <c r="AH214" s="57"/>
      <c r="AI214" s="57"/>
    </row>
    <row r="215" spans="1:51" ht="17.25" hidden="1" customHeight="1" x14ac:dyDescent="0.25">
      <c r="B215" s="540"/>
      <c r="C215" s="484"/>
      <c r="D215" s="484"/>
      <c r="E215" s="482"/>
      <c r="F215" s="393"/>
      <c r="G215" s="482"/>
      <c r="H215" s="393"/>
      <c r="I215" s="482"/>
      <c r="J215" s="393"/>
      <c r="K215" s="482"/>
      <c r="L215" s="393"/>
      <c r="M215" s="482"/>
      <c r="N215" s="497"/>
      <c r="P215" s="289">
        <f>+H155</f>
        <v>0</v>
      </c>
      <c r="Q215" s="428"/>
      <c r="R215" s="429"/>
      <c r="S215" s="429"/>
      <c r="T215" s="430"/>
      <c r="X215" s="61"/>
      <c r="AB215" s="68"/>
      <c r="AD215" s="18"/>
      <c r="AG215" s="45"/>
      <c r="AH215" s="57"/>
      <c r="AI215" s="57"/>
    </row>
    <row r="216" spans="1:51" ht="17.25" hidden="1" customHeight="1" x14ac:dyDescent="0.25">
      <c r="B216" s="540"/>
      <c r="C216" s="484"/>
      <c r="D216" s="484"/>
      <c r="E216" s="482"/>
      <c r="F216" s="393"/>
      <c r="G216" s="482"/>
      <c r="H216" s="393"/>
      <c r="I216" s="482"/>
      <c r="J216" s="393"/>
      <c r="K216" s="482"/>
      <c r="L216" s="393"/>
      <c r="M216" s="482"/>
      <c r="N216" s="497"/>
      <c r="P216" s="285">
        <v>8</v>
      </c>
      <c r="Q216" s="425" t="str">
        <f>IF(Y97=1,AA97,"No")</f>
        <v>No</v>
      </c>
      <c r="R216" s="426"/>
      <c r="S216" s="426"/>
      <c r="T216" s="427"/>
      <c r="X216" s="61"/>
      <c r="AB216" s="68"/>
      <c r="AD216" s="18"/>
      <c r="AG216" s="45"/>
      <c r="AH216" s="57"/>
      <c r="AI216" s="57"/>
    </row>
    <row r="217" spans="1:51" ht="17.25" hidden="1" customHeight="1" x14ac:dyDescent="0.25">
      <c r="B217" s="540"/>
      <c r="C217" s="484"/>
      <c r="D217" s="484"/>
      <c r="E217" s="482"/>
      <c r="F217" s="393"/>
      <c r="G217" s="482"/>
      <c r="H217" s="393"/>
      <c r="I217" s="482"/>
      <c r="J217" s="393"/>
      <c r="K217" s="482"/>
      <c r="L217" s="393"/>
      <c r="M217" s="482"/>
      <c r="N217" s="497"/>
      <c r="P217" s="289">
        <f>+I155</f>
        <v>0</v>
      </c>
      <c r="Q217" s="428"/>
      <c r="R217" s="429"/>
      <c r="S217" s="429"/>
      <c r="T217" s="430"/>
      <c r="X217" s="61"/>
      <c r="AB217" s="68"/>
      <c r="AD217" s="18"/>
      <c r="AG217" s="45"/>
      <c r="AH217" s="57"/>
      <c r="AI217" s="57"/>
    </row>
    <row r="218" spans="1:51" ht="17.25" hidden="1" customHeight="1" x14ac:dyDescent="0.25">
      <c r="B218" s="540"/>
      <c r="C218" s="484"/>
      <c r="D218" s="484"/>
      <c r="E218" s="482"/>
      <c r="F218" s="393"/>
      <c r="G218" s="482"/>
      <c r="H218" s="393"/>
      <c r="I218" s="482"/>
      <c r="J218" s="393"/>
      <c r="K218" s="482"/>
      <c r="L218" s="393"/>
      <c r="M218" s="482"/>
      <c r="N218" s="497"/>
      <c r="P218" s="285">
        <v>9</v>
      </c>
      <c r="Q218" s="425" t="str">
        <f>IF(Y98=1,AA98,"No")</f>
        <v>No</v>
      </c>
      <c r="R218" s="426"/>
      <c r="S218" s="426"/>
      <c r="T218" s="427"/>
      <c r="X218" s="61"/>
      <c r="AB218" s="68"/>
      <c r="AD218" s="18"/>
      <c r="AG218" s="45"/>
      <c r="AH218" s="57"/>
      <c r="AI218" s="57"/>
    </row>
    <row r="219" spans="1:51" ht="17.25" hidden="1" customHeight="1" x14ac:dyDescent="0.25">
      <c r="B219" s="460"/>
      <c r="C219" s="534"/>
      <c r="D219" s="534"/>
      <c r="E219" s="428"/>
      <c r="F219" s="395"/>
      <c r="G219" s="428"/>
      <c r="H219" s="395"/>
      <c r="I219" s="428"/>
      <c r="J219" s="395"/>
      <c r="K219" s="428"/>
      <c r="L219" s="395"/>
      <c r="M219" s="428"/>
      <c r="N219" s="430"/>
      <c r="P219" s="289">
        <f>+J155</f>
        <v>0</v>
      </c>
      <c r="Q219" s="428"/>
      <c r="R219" s="429"/>
      <c r="S219" s="429"/>
      <c r="T219" s="430"/>
      <c r="X219" s="61"/>
      <c r="AB219" s="68"/>
      <c r="AD219" s="18"/>
      <c r="AG219" s="45"/>
      <c r="AH219" s="57"/>
      <c r="AI219" s="57"/>
    </row>
    <row r="220" spans="1:51" ht="15.75" customHeight="1" x14ac:dyDescent="0.25"/>
    <row r="221" spans="1:51" ht="15.75" customHeight="1" x14ac:dyDescent="0.25"/>
    <row r="222" spans="1:51" ht="15.75" customHeight="1" x14ac:dyDescent="0.25"/>
    <row r="223" spans="1:51" ht="15.75" customHeight="1" x14ac:dyDescent="0.25"/>
    <row r="224" spans="1:5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9">
    <mergeCell ref="D203:F203"/>
    <mergeCell ref="H203:J203"/>
    <mergeCell ref="B208:B219"/>
    <mergeCell ref="E208:F208"/>
    <mergeCell ref="G208:H208"/>
    <mergeCell ref="M208:N208"/>
    <mergeCell ref="M209:N219"/>
    <mergeCell ref="Q206:T207"/>
    <mergeCell ref="Q208:T209"/>
    <mergeCell ref="C209:C219"/>
    <mergeCell ref="D209:D219"/>
    <mergeCell ref="E209:F219"/>
    <mergeCell ref="G209:H219"/>
    <mergeCell ref="I209:J219"/>
    <mergeCell ref="K209:L219"/>
    <mergeCell ref="Q204:T205"/>
    <mergeCell ref="Q210:T211"/>
    <mergeCell ref="Q212:T213"/>
    <mergeCell ref="Q214:T215"/>
    <mergeCell ref="Q216:T217"/>
    <mergeCell ref="Q218:T219"/>
    <mergeCell ref="B184:O184"/>
    <mergeCell ref="B185:O185"/>
    <mergeCell ref="Q187:T187"/>
    <mergeCell ref="R188:T188"/>
    <mergeCell ref="B186:C187"/>
    <mergeCell ref="D186:F186"/>
    <mergeCell ref="G186:I186"/>
    <mergeCell ref="J186:L186"/>
    <mergeCell ref="M186:O187"/>
    <mergeCell ref="Q186:T186"/>
    <mergeCell ref="B188:C188"/>
    <mergeCell ref="Q172:T172"/>
    <mergeCell ref="K173:M173"/>
    <mergeCell ref="N173:P173"/>
    <mergeCell ref="Q173:T173"/>
    <mergeCell ref="K174:P174"/>
    <mergeCell ref="R174:T174"/>
    <mergeCell ref="K175:P175"/>
    <mergeCell ref="R178:T178"/>
    <mergeCell ref="R182:T182"/>
    <mergeCell ref="B172:C172"/>
    <mergeCell ref="D172:E172"/>
    <mergeCell ref="F176:H176"/>
    <mergeCell ref="B177:L177"/>
    <mergeCell ref="C178:E178"/>
    <mergeCell ref="G178:I178"/>
    <mergeCell ref="J178:J179"/>
    <mergeCell ref="K178:L179"/>
    <mergeCell ref="B173:C173"/>
    <mergeCell ref="D173:E173"/>
    <mergeCell ref="F173:G173"/>
    <mergeCell ref="H173:I173"/>
    <mergeCell ref="B174:D174"/>
    <mergeCell ref="B175:D175"/>
    <mergeCell ref="B176:D176"/>
    <mergeCell ref="F172:G172"/>
    <mergeCell ref="H172:I172"/>
    <mergeCell ref="J172:J173"/>
    <mergeCell ref="L168:T170"/>
    <mergeCell ref="J169:J170"/>
    <mergeCell ref="D170:E170"/>
    <mergeCell ref="F170:G170"/>
    <mergeCell ref="H170:I170"/>
    <mergeCell ref="B170:C170"/>
    <mergeCell ref="B171:C171"/>
    <mergeCell ref="D171:E171"/>
    <mergeCell ref="F171:G171"/>
    <mergeCell ref="H171:I171"/>
    <mergeCell ref="P110:Q110"/>
    <mergeCell ref="S110:T110"/>
    <mergeCell ref="P146:T146"/>
    <mergeCell ref="P147:T147"/>
    <mergeCell ref="L166:M166"/>
    <mergeCell ref="N166:O166"/>
    <mergeCell ref="P166:Q166"/>
    <mergeCell ref="R166:S166"/>
    <mergeCell ref="B167:J167"/>
    <mergeCell ref="L167:M167"/>
    <mergeCell ref="N167:O167"/>
    <mergeCell ref="P167:Q167"/>
    <mergeCell ref="R167:S167"/>
    <mergeCell ref="B102:C102"/>
    <mergeCell ref="M102:N102"/>
    <mergeCell ref="B104:E104"/>
    <mergeCell ref="F104:R104"/>
    <mergeCell ref="R105:S105"/>
    <mergeCell ref="B107:T107"/>
    <mergeCell ref="B109:C109"/>
    <mergeCell ref="P109:Q109"/>
    <mergeCell ref="S109:T109"/>
    <mergeCell ref="X75:Y75"/>
    <mergeCell ref="Z77:AH77"/>
    <mergeCell ref="X79:Y79"/>
    <mergeCell ref="X80:Y80"/>
    <mergeCell ref="X81:Y81"/>
    <mergeCell ref="X82:Y82"/>
    <mergeCell ref="X84:Y84"/>
    <mergeCell ref="Z84:AF87"/>
    <mergeCell ref="AG84:AG87"/>
    <mergeCell ref="AV11:AW11"/>
    <mergeCell ref="AX11:AY11"/>
    <mergeCell ref="AP7:AQ7"/>
    <mergeCell ref="AP8:AQ8"/>
    <mergeCell ref="AR8:AS8"/>
    <mergeCell ref="AT8:AU8"/>
    <mergeCell ref="AV8:AW8"/>
    <mergeCell ref="AX8:AY8"/>
    <mergeCell ref="AP9:AQ9"/>
    <mergeCell ref="AR9:AS9"/>
    <mergeCell ref="AT9:AU9"/>
    <mergeCell ref="AP10:AQ10"/>
    <mergeCell ref="AR10:AS10"/>
    <mergeCell ref="AT10:AU10"/>
    <mergeCell ref="AR11:AS11"/>
    <mergeCell ref="AT11:AU11"/>
    <mergeCell ref="AP11:AQ11"/>
    <mergeCell ref="AT5:AU5"/>
    <mergeCell ref="AP6:AQ6"/>
    <mergeCell ref="AR6:AS6"/>
    <mergeCell ref="AT6:AU6"/>
    <mergeCell ref="AR7:AS7"/>
    <mergeCell ref="AT7:AU7"/>
    <mergeCell ref="AV9:AW9"/>
    <mergeCell ref="AX9:AY9"/>
    <mergeCell ref="AV10:AW10"/>
    <mergeCell ref="AX10:AY10"/>
    <mergeCell ref="B1:B2"/>
    <mergeCell ref="C1:C2"/>
    <mergeCell ref="D1:L1"/>
    <mergeCell ref="M1:M2"/>
    <mergeCell ref="N1:N2"/>
    <mergeCell ref="X1:X2"/>
    <mergeCell ref="Y1:Y2"/>
    <mergeCell ref="AT3:AU3"/>
    <mergeCell ref="AV3:AW3"/>
    <mergeCell ref="AP2:AQ2"/>
    <mergeCell ref="AR2:AS2"/>
    <mergeCell ref="AT2:AU2"/>
    <mergeCell ref="AV2:AW2"/>
    <mergeCell ref="AR3:AS3"/>
    <mergeCell ref="AP3:AQ3"/>
    <mergeCell ref="I208:J208"/>
    <mergeCell ref="K208:L208"/>
    <mergeCell ref="O1:W1"/>
    <mergeCell ref="Z1:AH1"/>
    <mergeCell ref="AP1:AQ1"/>
    <mergeCell ref="AR1:AS1"/>
    <mergeCell ref="AT1:AU1"/>
    <mergeCell ref="AV1:AW1"/>
    <mergeCell ref="AX1:AY1"/>
    <mergeCell ref="AX2:AY2"/>
    <mergeCell ref="AX3:AY3"/>
    <mergeCell ref="AV5:AW5"/>
    <mergeCell ref="AX5:AY5"/>
    <mergeCell ref="AV6:AW6"/>
    <mergeCell ref="AX6:AY6"/>
    <mergeCell ref="AV7:AW7"/>
    <mergeCell ref="AX7:AY7"/>
    <mergeCell ref="AP4:AQ4"/>
    <mergeCell ref="AR4:AS4"/>
    <mergeCell ref="AT4:AU4"/>
    <mergeCell ref="AV4:AW4"/>
    <mergeCell ref="AX4:AY4"/>
    <mergeCell ref="AP5:AQ5"/>
    <mergeCell ref="AR5:AS5"/>
    <mergeCell ref="L157:S157"/>
    <mergeCell ref="M158:O158"/>
    <mergeCell ref="P158:S158"/>
    <mergeCell ref="M159:O159"/>
    <mergeCell ref="P159:S159"/>
    <mergeCell ref="L162:T162"/>
    <mergeCell ref="L165:M165"/>
    <mergeCell ref="N165:O165"/>
    <mergeCell ref="P165:Q165"/>
    <mergeCell ref="R165:S165"/>
    <mergeCell ref="M150:S150"/>
    <mergeCell ref="L151:L152"/>
    <mergeCell ref="M151:S152"/>
    <mergeCell ref="T151:T152"/>
    <mergeCell ref="L153:L154"/>
    <mergeCell ref="L155:L156"/>
    <mergeCell ref="M155:S156"/>
    <mergeCell ref="T155:T156"/>
    <mergeCell ref="B156:D156"/>
    <mergeCell ref="D199:F199"/>
    <mergeCell ref="H199:J199"/>
    <mergeCell ref="L199:N199"/>
    <mergeCell ref="P201:T201"/>
    <mergeCell ref="Q202:T203"/>
    <mergeCell ref="L203:N203"/>
    <mergeCell ref="B143:E143"/>
    <mergeCell ref="B147:C147"/>
    <mergeCell ref="F148:G148"/>
    <mergeCell ref="B149:G149"/>
    <mergeCell ref="B150:G150"/>
    <mergeCell ref="B151:G151"/>
    <mergeCell ref="B152:J152"/>
    <mergeCell ref="F143:Q143"/>
    <mergeCell ref="B144:J144"/>
    <mergeCell ref="M144:N144"/>
    <mergeCell ref="Q144:R144"/>
    <mergeCell ref="S144:T144"/>
    <mergeCell ref="P145:T145"/>
    <mergeCell ref="E147:J147"/>
    <mergeCell ref="M153:S154"/>
    <mergeCell ref="T153:T154"/>
    <mergeCell ref="P148:Q148"/>
    <mergeCell ref="S148:T148"/>
    <mergeCell ref="B189:C189"/>
    <mergeCell ref="B190:C190"/>
    <mergeCell ref="R192:T192"/>
    <mergeCell ref="C194:F194"/>
    <mergeCell ref="G194:J194"/>
    <mergeCell ref="K194:N194"/>
    <mergeCell ref="D195:F195"/>
    <mergeCell ref="R196:T196"/>
    <mergeCell ref="H195:J195"/>
    <mergeCell ref="L195:N195"/>
  </mergeCells>
  <pageMargins left="0" right="0" top="0" bottom="0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Y1000"/>
  <sheetViews>
    <sheetView showGridLines="0" topLeftCell="A165" workbookViewId="0"/>
  </sheetViews>
  <sheetFormatPr baseColWidth="10" defaultColWidth="12.6640625" defaultRowHeight="15" customHeight="1" x14ac:dyDescent="0.25"/>
  <cols>
    <col min="1" max="1" width="11.44140625" customWidth="1"/>
    <col min="2" max="2" width="8" customWidth="1"/>
    <col min="3" max="11" width="8.109375" customWidth="1"/>
    <col min="12" max="20" width="8.6640625" customWidth="1"/>
    <col min="21" max="23" width="8.109375" customWidth="1"/>
    <col min="24" max="24" width="7.6640625" customWidth="1"/>
    <col min="25" max="25" width="8.88671875" customWidth="1"/>
    <col min="26" max="28" width="8.109375" customWidth="1"/>
    <col min="29" max="29" width="9.44140625" customWidth="1"/>
    <col min="30" max="32" width="8.109375" customWidth="1"/>
    <col min="33" max="33" width="9.44140625" customWidth="1"/>
    <col min="34" max="34" width="8.109375" customWidth="1"/>
    <col min="35" max="35" width="11.6640625" customWidth="1"/>
    <col min="36" max="36" width="3.44140625" customWidth="1"/>
    <col min="37" max="39" width="3" customWidth="1"/>
    <col min="40" max="40" width="13.44140625" customWidth="1"/>
    <col min="41" max="41" width="25.33203125" customWidth="1"/>
    <col min="42" max="51" width="7.44140625" customWidth="1"/>
  </cols>
  <sheetData>
    <row r="1" spans="1:51" ht="12.75" hidden="1" customHeight="1" x14ac:dyDescent="0.3">
      <c r="B1" s="475" t="s">
        <v>347</v>
      </c>
      <c r="C1" s="475" t="s">
        <v>348</v>
      </c>
      <c r="D1" s="473" t="s">
        <v>349</v>
      </c>
      <c r="E1" s="361"/>
      <c r="F1" s="361"/>
      <c r="G1" s="361"/>
      <c r="H1" s="361"/>
      <c r="I1" s="361"/>
      <c r="J1" s="361"/>
      <c r="K1" s="361"/>
      <c r="L1" s="388"/>
      <c r="M1" s="475" t="s">
        <v>347</v>
      </c>
      <c r="N1" s="475" t="s">
        <v>348</v>
      </c>
      <c r="O1" s="473" t="s">
        <v>349</v>
      </c>
      <c r="P1" s="361"/>
      <c r="Q1" s="361"/>
      <c r="R1" s="361"/>
      <c r="S1" s="361"/>
      <c r="T1" s="361"/>
      <c r="U1" s="361"/>
      <c r="V1" s="361"/>
      <c r="W1" s="388"/>
      <c r="X1" s="475" t="s">
        <v>347</v>
      </c>
      <c r="Y1" s="475" t="s">
        <v>348</v>
      </c>
      <c r="Z1" s="473" t="s">
        <v>349</v>
      </c>
      <c r="AA1" s="361"/>
      <c r="AB1" s="361"/>
      <c r="AC1" s="361"/>
      <c r="AD1" s="361"/>
      <c r="AE1" s="361"/>
      <c r="AF1" s="361"/>
      <c r="AG1" s="361"/>
      <c r="AH1" s="388"/>
      <c r="AL1" s="18"/>
      <c r="AM1" s="18"/>
      <c r="AN1" s="44" t="s">
        <v>350</v>
      </c>
      <c r="AO1" s="44" t="s">
        <v>351</v>
      </c>
      <c r="AP1" s="474" t="s">
        <v>352</v>
      </c>
      <c r="AQ1" s="407"/>
      <c r="AR1" s="474" t="s">
        <v>353</v>
      </c>
      <c r="AS1" s="407"/>
      <c r="AT1" s="474" t="s">
        <v>354</v>
      </c>
      <c r="AU1" s="407"/>
      <c r="AV1" s="474" t="s">
        <v>355</v>
      </c>
      <c r="AW1" s="407"/>
      <c r="AX1" s="474" t="s">
        <v>356</v>
      </c>
      <c r="AY1" s="407"/>
    </row>
    <row r="2" spans="1:51" ht="12.75" hidden="1" customHeight="1" x14ac:dyDescent="0.25">
      <c r="A2" s="45"/>
      <c r="B2" s="476"/>
      <c r="C2" s="476"/>
      <c r="D2" s="46">
        <v>1</v>
      </c>
      <c r="E2" s="46">
        <v>2</v>
      </c>
      <c r="F2" s="46">
        <v>3</v>
      </c>
      <c r="G2" s="46">
        <v>4</v>
      </c>
      <c r="H2" s="46">
        <v>5</v>
      </c>
      <c r="I2" s="46">
        <v>6</v>
      </c>
      <c r="J2" s="46">
        <v>7</v>
      </c>
      <c r="K2" s="46">
        <v>8</v>
      </c>
      <c r="L2" s="46">
        <v>9</v>
      </c>
      <c r="M2" s="476"/>
      <c r="N2" s="476"/>
      <c r="O2" s="46">
        <v>1</v>
      </c>
      <c r="P2" s="46">
        <v>2</v>
      </c>
      <c r="Q2" s="46">
        <v>3</v>
      </c>
      <c r="R2" s="46">
        <v>4</v>
      </c>
      <c r="S2" s="46">
        <v>5</v>
      </c>
      <c r="T2" s="46">
        <v>6</v>
      </c>
      <c r="U2" s="46">
        <v>7</v>
      </c>
      <c r="V2" s="46">
        <v>8</v>
      </c>
      <c r="W2" s="46">
        <v>9</v>
      </c>
      <c r="X2" s="476"/>
      <c r="Y2" s="476"/>
      <c r="Z2" s="46">
        <v>1</v>
      </c>
      <c r="AA2" s="46">
        <v>2</v>
      </c>
      <c r="AB2" s="46">
        <v>3</v>
      </c>
      <c r="AC2" s="46">
        <v>4</v>
      </c>
      <c r="AD2" s="46">
        <v>5</v>
      </c>
      <c r="AE2" s="46">
        <v>6</v>
      </c>
      <c r="AF2" s="46">
        <v>7</v>
      </c>
      <c r="AG2" s="46">
        <v>8</v>
      </c>
      <c r="AH2" s="46">
        <v>9</v>
      </c>
      <c r="AJ2" s="17">
        <f>+IF(AND(AFIRMACIONES!$C$6&gt;=AL2,AFIRMACIONES!$C$6&lt;=AM2),1,0)</f>
        <v>0</v>
      </c>
      <c r="AK2" s="17">
        <v>1</v>
      </c>
      <c r="AL2" s="47">
        <v>1</v>
      </c>
      <c r="AM2" s="47">
        <v>6</v>
      </c>
      <c r="AN2" s="48" t="s">
        <v>357</v>
      </c>
      <c r="AO2" s="49" t="s">
        <v>358</v>
      </c>
      <c r="AP2" s="477" t="s">
        <v>359</v>
      </c>
      <c r="AQ2" s="388"/>
      <c r="AR2" s="477" t="s">
        <v>360</v>
      </c>
      <c r="AS2" s="388"/>
      <c r="AT2" s="477" t="s">
        <v>361</v>
      </c>
      <c r="AU2" s="388"/>
      <c r="AV2" s="477" t="s">
        <v>362</v>
      </c>
      <c r="AW2" s="388"/>
      <c r="AX2" s="477" t="s">
        <v>363</v>
      </c>
      <c r="AY2" s="388"/>
    </row>
    <row r="3" spans="1:51" ht="12.75" hidden="1" customHeight="1" x14ac:dyDescent="0.25">
      <c r="B3" s="50">
        <v>1</v>
      </c>
      <c r="C3" s="51">
        <v>8</v>
      </c>
      <c r="D3" s="52"/>
      <c r="E3" s="53"/>
      <c r="F3" s="53"/>
      <c r="G3" s="53"/>
      <c r="H3" s="53"/>
      <c r="I3" s="53"/>
      <c r="J3" s="53"/>
      <c r="K3" s="54">
        <f>+AFIRMACIONES!B30</f>
        <v>0</v>
      </c>
      <c r="L3" s="53"/>
      <c r="M3" s="50">
        <v>100</v>
      </c>
      <c r="N3" s="51">
        <v>5</v>
      </c>
      <c r="O3" s="53"/>
      <c r="P3" s="53"/>
      <c r="Q3" s="53"/>
      <c r="R3" s="53"/>
      <c r="S3" s="54">
        <f>+AFIRMACIONES!B129</f>
        <v>0</v>
      </c>
      <c r="T3" s="53"/>
      <c r="U3" s="53"/>
      <c r="V3" s="53"/>
      <c r="W3" s="52"/>
      <c r="X3" s="50">
        <v>199</v>
      </c>
      <c r="Y3" s="51">
        <v>7</v>
      </c>
      <c r="Z3" s="53"/>
      <c r="AA3" s="53"/>
      <c r="AB3" s="55"/>
      <c r="AC3" s="53"/>
      <c r="AD3" s="53"/>
      <c r="AE3" s="52"/>
      <c r="AF3" s="54">
        <f>+AFIRMACIONES!B228</f>
        <v>0</v>
      </c>
      <c r="AG3" s="53"/>
      <c r="AH3" s="53"/>
      <c r="AJ3" s="17">
        <f>+IF(AND(AFIRMACIONES!$C$6&gt;=AL3,AFIRMACIONES!$C$6&lt;=AM3),1,0)</f>
        <v>0</v>
      </c>
      <c r="AK3" s="17">
        <v>2</v>
      </c>
      <c r="AL3" s="47">
        <v>7</v>
      </c>
      <c r="AM3" s="47">
        <v>13</v>
      </c>
      <c r="AN3" s="48" t="s">
        <v>357</v>
      </c>
      <c r="AO3" s="49" t="s">
        <v>364</v>
      </c>
      <c r="AP3" s="477" t="s">
        <v>365</v>
      </c>
      <c r="AQ3" s="388"/>
      <c r="AR3" s="477" t="s">
        <v>366</v>
      </c>
      <c r="AS3" s="388"/>
      <c r="AT3" s="477" t="s">
        <v>367</v>
      </c>
      <c r="AU3" s="388"/>
      <c r="AV3" s="477" t="s">
        <v>368</v>
      </c>
      <c r="AW3" s="388"/>
      <c r="AX3" s="477" t="s">
        <v>369</v>
      </c>
      <c r="AY3" s="388"/>
    </row>
    <row r="4" spans="1:51" ht="12.75" hidden="1" customHeight="1" x14ac:dyDescent="0.25">
      <c r="B4" s="50">
        <v>2</v>
      </c>
      <c r="C4" s="51">
        <v>6</v>
      </c>
      <c r="D4" s="53"/>
      <c r="E4" s="52"/>
      <c r="F4" s="53"/>
      <c r="G4" s="53"/>
      <c r="H4" s="53"/>
      <c r="I4" s="54">
        <f>+AFIRMACIONES!B31</f>
        <v>0</v>
      </c>
      <c r="J4" s="53"/>
      <c r="K4" s="53"/>
      <c r="L4" s="53"/>
      <c r="M4" s="50">
        <v>101</v>
      </c>
      <c r="N4" s="51">
        <v>7</v>
      </c>
      <c r="O4" s="52"/>
      <c r="P4" s="53"/>
      <c r="Q4" s="53"/>
      <c r="R4" s="53"/>
      <c r="S4" s="53"/>
      <c r="T4" s="53"/>
      <c r="U4" s="54">
        <f>+AFIRMACIONES!B130</f>
        <v>0</v>
      </c>
      <c r="V4" s="53"/>
      <c r="W4" s="52"/>
      <c r="X4" s="50">
        <v>200</v>
      </c>
      <c r="Y4" s="51">
        <v>3</v>
      </c>
      <c r="Z4" s="53"/>
      <c r="AA4" s="52"/>
      <c r="AB4" s="54">
        <f>+AFIRMACIONES!B229</f>
        <v>0</v>
      </c>
      <c r="AC4" s="53"/>
      <c r="AD4" s="53"/>
      <c r="AE4" s="53"/>
      <c r="AF4" s="55"/>
      <c r="AG4" s="53"/>
      <c r="AH4" s="53"/>
      <c r="AJ4" s="17">
        <f>+IF(AND(AFIRMACIONES!$C$6&gt;=AL4,AFIRMACIONES!$C$6&lt;=AM4),1,0)</f>
        <v>0</v>
      </c>
      <c r="AK4" s="17">
        <v>3</v>
      </c>
      <c r="AL4" s="47">
        <v>14</v>
      </c>
      <c r="AM4" s="47">
        <v>20</v>
      </c>
      <c r="AN4" s="48" t="s">
        <v>357</v>
      </c>
      <c r="AO4" s="49" t="s">
        <v>370</v>
      </c>
      <c r="AP4" s="477" t="s">
        <v>371</v>
      </c>
      <c r="AQ4" s="388"/>
      <c r="AR4" s="477" t="s">
        <v>372</v>
      </c>
      <c r="AS4" s="388"/>
      <c r="AT4" s="477" t="s">
        <v>373</v>
      </c>
      <c r="AU4" s="388"/>
      <c r="AV4" s="477" t="s">
        <v>374</v>
      </c>
      <c r="AW4" s="388"/>
      <c r="AX4" s="477" t="s">
        <v>375</v>
      </c>
      <c r="AY4" s="388"/>
    </row>
    <row r="5" spans="1:51" ht="12.75" hidden="1" customHeight="1" x14ac:dyDescent="0.25">
      <c r="B5" s="50">
        <v>3</v>
      </c>
      <c r="C5" s="51">
        <v>9</v>
      </c>
      <c r="D5" s="52"/>
      <c r="E5" s="53"/>
      <c r="F5" s="52"/>
      <c r="G5" s="53"/>
      <c r="H5" s="53"/>
      <c r="I5" s="53"/>
      <c r="J5" s="53"/>
      <c r="K5" s="53"/>
      <c r="L5" s="54">
        <f>+AFIRMACIONES!B32</f>
        <v>0</v>
      </c>
      <c r="M5" s="50">
        <v>102</v>
      </c>
      <c r="N5" s="51">
        <v>6</v>
      </c>
      <c r="O5" s="53"/>
      <c r="P5" s="53"/>
      <c r="Q5" s="53"/>
      <c r="R5" s="53"/>
      <c r="S5" s="52"/>
      <c r="T5" s="54">
        <f>+AFIRMACIONES!B131</f>
        <v>0</v>
      </c>
      <c r="U5" s="53"/>
      <c r="V5" s="52"/>
      <c r="W5" s="52"/>
      <c r="X5" s="50">
        <v>201</v>
      </c>
      <c r="Y5" s="51">
        <v>4</v>
      </c>
      <c r="Z5" s="53"/>
      <c r="AA5" s="52"/>
      <c r="AB5" s="55"/>
      <c r="AC5" s="54">
        <f>+AFIRMACIONES!B230</f>
        <v>0</v>
      </c>
      <c r="AD5" s="53"/>
      <c r="AE5" s="53"/>
      <c r="AF5" s="55"/>
      <c r="AG5" s="53"/>
      <c r="AH5" s="53"/>
      <c r="AJ5" s="17">
        <f>+IF(AND(AFIRMACIONES!$C$6&gt;=AL5,AFIRMACIONES!$C$6&lt;=AM5),1,0)</f>
        <v>0</v>
      </c>
      <c r="AK5" s="17">
        <v>4</v>
      </c>
      <c r="AL5" s="47">
        <v>21</v>
      </c>
      <c r="AM5" s="47">
        <v>27</v>
      </c>
      <c r="AN5" s="48" t="s">
        <v>357</v>
      </c>
      <c r="AO5" s="49" t="s">
        <v>376</v>
      </c>
      <c r="AP5" s="477" t="s">
        <v>377</v>
      </c>
      <c r="AQ5" s="388"/>
      <c r="AR5" s="477" t="s">
        <v>378</v>
      </c>
      <c r="AS5" s="388"/>
      <c r="AT5" s="477" t="s">
        <v>379</v>
      </c>
      <c r="AU5" s="388"/>
      <c r="AV5" s="477" t="s">
        <v>380</v>
      </c>
      <c r="AW5" s="388"/>
      <c r="AX5" s="477" t="s">
        <v>381</v>
      </c>
      <c r="AY5" s="388"/>
    </row>
    <row r="6" spans="1:51" ht="12.75" hidden="1" customHeight="1" x14ac:dyDescent="0.25">
      <c r="B6" s="50">
        <v>4</v>
      </c>
      <c r="C6" s="51">
        <v>3</v>
      </c>
      <c r="D6" s="53"/>
      <c r="E6" s="53"/>
      <c r="F6" s="54">
        <f>+AFIRMACIONES!B33</f>
        <v>0</v>
      </c>
      <c r="G6" s="52"/>
      <c r="H6" s="52"/>
      <c r="I6" s="53"/>
      <c r="J6" s="53"/>
      <c r="K6" s="53"/>
      <c r="L6" s="53"/>
      <c r="M6" s="50">
        <v>103</v>
      </c>
      <c r="N6" s="51">
        <v>3</v>
      </c>
      <c r="O6" s="53"/>
      <c r="P6" s="53"/>
      <c r="Q6" s="54">
        <f>+AFIRMACIONES!B132</f>
        <v>0</v>
      </c>
      <c r="R6" s="53"/>
      <c r="S6" s="53"/>
      <c r="T6" s="53"/>
      <c r="U6" s="53"/>
      <c r="V6" s="53"/>
      <c r="W6" s="52"/>
      <c r="X6" s="50">
        <v>202</v>
      </c>
      <c r="Y6" s="51">
        <v>9</v>
      </c>
      <c r="Z6" s="53"/>
      <c r="AA6" s="52"/>
      <c r="AB6" s="55"/>
      <c r="AC6" s="53"/>
      <c r="AD6" s="53"/>
      <c r="AE6" s="53"/>
      <c r="AF6" s="55"/>
      <c r="AG6" s="53"/>
      <c r="AH6" s="54">
        <f>+AFIRMACIONES!B231</f>
        <v>0</v>
      </c>
      <c r="AJ6" s="17">
        <f>+IF(AND(AFIRMACIONES!$C$6&gt;=AL6,AFIRMACIONES!$C$6&lt;=AM6),1,0)</f>
        <v>0</v>
      </c>
      <c r="AK6" s="17">
        <v>5</v>
      </c>
      <c r="AL6" s="47">
        <v>28</v>
      </c>
      <c r="AM6" s="47">
        <v>41</v>
      </c>
      <c r="AN6" s="48" t="s">
        <v>357</v>
      </c>
      <c r="AO6" s="49" t="s">
        <v>382</v>
      </c>
      <c r="AP6" s="477" t="s">
        <v>383</v>
      </c>
      <c r="AQ6" s="388"/>
      <c r="AR6" s="477" t="s">
        <v>384</v>
      </c>
      <c r="AS6" s="388"/>
      <c r="AT6" s="477" t="s">
        <v>385</v>
      </c>
      <c r="AU6" s="388"/>
      <c r="AV6" s="477" t="s">
        <v>386</v>
      </c>
      <c r="AW6" s="388"/>
      <c r="AX6" s="477" t="s">
        <v>387</v>
      </c>
      <c r="AY6" s="388"/>
    </row>
    <row r="7" spans="1:51" ht="12.75" hidden="1" customHeight="1" x14ac:dyDescent="0.25">
      <c r="B7" s="50">
        <v>5</v>
      </c>
      <c r="C7" s="51">
        <v>2</v>
      </c>
      <c r="D7" s="52"/>
      <c r="E7" s="54">
        <f>+AFIRMACIONES!B34</f>
        <v>0</v>
      </c>
      <c r="F7" s="53"/>
      <c r="G7" s="53"/>
      <c r="H7" s="53"/>
      <c r="I7" s="53"/>
      <c r="J7" s="53"/>
      <c r="K7" s="53"/>
      <c r="L7" s="53"/>
      <c r="M7" s="50">
        <v>104</v>
      </c>
      <c r="N7" s="51">
        <v>4</v>
      </c>
      <c r="O7" s="53"/>
      <c r="P7" s="53"/>
      <c r="Q7" s="53"/>
      <c r="R7" s="54">
        <f>+AFIRMACIONES!B133</f>
        <v>0</v>
      </c>
      <c r="S7" s="53"/>
      <c r="T7" s="53"/>
      <c r="U7" s="53"/>
      <c r="V7" s="52"/>
      <c r="W7" s="52"/>
      <c r="X7" s="50">
        <v>203</v>
      </c>
      <c r="Y7" s="51">
        <v>2</v>
      </c>
      <c r="Z7" s="52"/>
      <c r="AA7" s="54">
        <f>+AFIRMACIONES!B232</f>
        <v>0</v>
      </c>
      <c r="AB7" s="55"/>
      <c r="AC7" s="53"/>
      <c r="AD7" s="53"/>
      <c r="AE7" s="53"/>
      <c r="AF7" s="55"/>
      <c r="AG7" s="53"/>
      <c r="AH7" s="53"/>
      <c r="AJ7" s="17">
        <f>+IF(AND(AFIRMACIONES!$C$6&gt;=AL7,AFIRMACIONES!$C$6&lt;=AM7),1,0)</f>
        <v>0</v>
      </c>
      <c r="AK7" s="17">
        <v>6</v>
      </c>
      <c r="AL7" s="47">
        <v>42</v>
      </c>
      <c r="AM7" s="47">
        <v>48</v>
      </c>
      <c r="AN7" s="48" t="s">
        <v>388</v>
      </c>
      <c r="AO7" s="49" t="s">
        <v>389</v>
      </c>
      <c r="AP7" s="477" t="s">
        <v>390</v>
      </c>
      <c r="AQ7" s="388"/>
      <c r="AR7" s="477" t="s">
        <v>391</v>
      </c>
      <c r="AS7" s="388"/>
      <c r="AT7" s="477" t="s">
        <v>392</v>
      </c>
      <c r="AU7" s="388"/>
      <c r="AV7" s="477" t="s">
        <v>393</v>
      </c>
      <c r="AW7" s="388"/>
      <c r="AX7" s="477" t="s">
        <v>394</v>
      </c>
      <c r="AY7" s="388"/>
    </row>
    <row r="8" spans="1:51" ht="12.75" hidden="1" customHeight="1" x14ac:dyDescent="0.25">
      <c r="B8" s="50">
        <v>6</v>
      </c>
      <c r="C8" s="51">
        <v>5</v>
      </c>
      <c r="D8" s="53"/>
      <c r="E8" s="53"/>
      <c r="F8" s="53"/>
      <c r="G8" s="53"/>
      <c r="H8" s="54">
        <f>+AFIRMACIONES!B35</f>
        <v>0</v>
      </c>
      <c r="I8" s="53"/>
      <c r="J8" s="53"/>
      <c r="K8" s="53"/>
      <c r="L8" s="53"/>
      <c r="M8" s="50">
        <v>105</v>
      </c>
      <c r="N8" s="51">
        <v>2</v>
      </c>
      <c r="O8" s="53"/>
      <c r="P8" s="54">
        <f>+AFIRMACIONES!B134</f>
        <v>0</v>
      </c>
      <c r="Q8" s="53"/>
      <c r="R8" s="53"/>
      <c r="S8" s="53"/>
      <c r="T8" s="53"/>
      <c r="U8" s="53"/>
      <c r="V8" s="52"/>
      <c r="W8" s="52"/>
      <c r="X8" s="50">
        <v>204</v>
      </c>
      <c r="Y8" s="51">
        <v>1</v>
      </c>
      <c r="Z8" s="54">
        <f>+AFIRMACIONES!B233</f>
        <v>0</v>
      </c>
      <c r="AA8" s="53"/>
      <c r="AB8" s="55"/>
      <c r="AC8" s="53"/>
      <c r="AD8" s="52"/>
      <c r="AE8" s="53"/>
      <c r="AF8" s="55"/>
      <c r="AG8" s="53"/>
      <c r="AH8" s="53"/>
      <c r="AJ8" s="17">
        <f>+IF(AND(AFIRMACIONES!$C$6&gt;=AL8,AFIRMACIONES!$C$6&lt;=AM8),1,0)</f>
        <v>0</v>
      </c>
      <c r="AK8" s="17">
        <v>7</v>
      </c>
      <c r="AL8" s="47">
        <v>49</v>
      </c>
      <c r="AM8" s="47">
        <v>55</v>
      </c>
      <c r="AN8" s="48" t="s">
        <v>388</v>
      </c>
      <c r="AO8" s="49" t="s">
        <v>395</v>
      </c>
      <c r="AP8" s="477" t="s">
        <v>396</v>
      </c>
      <c r="AQ8" s="388"/>
      <c r="AR8" s="477" t="s">
        <v>397</v>
      </c>
      <c r="AS8" s="388"/>
      <c r="AT8" s="477" t="s">
        <v>398</v>
      </c>
      <c r="AU8" s="388"/>
      <c r="AV8" s="477" t="s">
        <v>399</v>
      </c>
      <c r="AW8" s="388"/>
      <c r="AX8" s="477" t="s">
        <v>400</v>
      </c>
      <c r="AY8" s="388"/>
    </row>
    <row r="9" spans="1:51" ht="12.75" hidden="1" customHeight="1" x14ac:dyDescent="0.25">
      <c r="B9" s="50">
        <v>7</v>
      </c>
      <c r="C9" s="51">
        <v>7</v>
      </c>
      <c r="D9" s="53"/>
      <c r="E9" s="53"/>
      <c r="F9" s="53"/>
      <c r="G9" s="53"/>
      <c r="H9" s="53"/>
      <c r="I9" s="53"/>
      <c r="J9" s="54">
        <f>+AFIRMACIONES!B36</f>
        <v>0</v>
      </c>
      <c r="K9" s="52"/>
      <c r="L9" s="53"/>
      <c r="M9" s="50">
        <v>106</v>
      </c>
      <c r="N9" s="51">
        <v>1</v>
      </c>
      <c r="O9" s="54">
        <f>+AFIRMACIONES!B135</f>
        <v>0</v>
      </c>
      <c r="P9" s="53"/>
      <c r="Q9" s="53"/>
      <c r="R9" s="52"/>
      <c r="S9" s="53"/>
      <c r="T9" s="53"/>
      <c r="U9" s="53"/>
      <c r="V9" s="53"/>
      <c r="W9" s="52"/>
      <c r="X9" s="50">
        <v>205</v>
      </c>
      <c r="Y9" s="51">
        <v>8</v>
      </c>
      <c r="Z9" s="53"/>
      <c r="AA9" s="53"/>
      <c r="AB9" s="55"/>
      <c r="AC9" s="53"/>
      <c r="AD9" s="53"/>
      <c r="AE9" s="53"/>
      <c r="AF9" s="55"/>
      <c r="AG9" s="54">
        <f>+AFIRMACIONES!B234</f>
        <v>0</v>
      </c>
      <c r="AH9" s="53"/>
      <c r="AJ9" s="17">
        <f>+IF(AND(AFIRMACIONES!$C$6&gt;=AL9,AFIRMACIONES!$C$6&lt;=AM9),1,0)</f>
        <v>0</v>
      </c>
      <c r="AK9" s="17">
        <v>8</v>
      </c>
      <c r="AL9" s="47">
        <v>56</v>
      </c>
      <c r="AM9" s="47">
        <v>62</v>
      </c>
      <c r="AN9" s="48" t="s">
        <v>388</v>
      </c>
      <c r="AO9" s="49" t="s">
        <v>401</v>
      </c>
      <c r="AP9" s="477" t="s">
        <v>402</v>
      </c>
      <c r="AQ9" s="388"/>
      <c r="AR9" s="477" t="s">
        <v>403</v>
      </c>
      <c r="AS9" s="388"/>
      <c r="AT9" s="477" t="s">
        <v>404</v>
      </c>
      <c r="AU9" s="388"/>
      <c r="AV9" s="477" t="s">
        <v>405</v>
      </c>
      <c r="AW9" s="388"/>
      <c r="AX9" s="477" t="s">
        <v>406</v>
      </c>
      <c r="AY9" s="388"/>
    </row>
    <row r="10" spans="1:51" ht="12.75" hidden="1" customHeight="1" x14ac:dyDescent="0.25">
      <c r="B10" s="50">
        <v>8</v>
      </c>
      <c r="C10" s="51">
        <v>4</v>
      </c>
      <c r="D10" s="53"/>
      <c r="E10" s="52"/>
      <c r="F10" s="53"/>
      <c r="G10" s="54">
        <f>+AFIRMACIONES!B37</f>
        <v>0</v>
      </c>
      <c r="H10" s="53"/>
      <c r="I10" s="53"/>
      <c r="J10" s="53"/>
      <c r="K10" s="53"/>
      <c r="L10" s="53"/>
      <c r="M10" s="50">
        <v>107</v>
      </c>
      <c r="N10" s="51">
        <v>8</v>
      </c>
      <c r="O10" s="52"/>
      <c r="P10" s="53"/>
      <c r="Q10" s="53"/>
      <c r="R10" s="53"/>
      <c r="S10" s="53"/>
      <c r="T10" s="53"/>
      <c r="U10" s="53"/>
      <c r="V10" s="54">
        <f>+AFIRMACIONES!B136</f>
        <v>0</v>
      </c>
      <c r="W10" s="52"/>
      <c r="X10" s="50">
        <v>206</v>
      </c>
      <c r="Y10" s="51">
        <v>6</v>
      </c>
      <c r="Z10" s="53"/>
      <c r="AA10" s="52"/>
      <c r="AB10" s="55"/>
      <c r="AC10" s="53"/>
      <c r="AD10" s="53"/>
      <c r="AE10" s="54">
        <f>+AFIRMACIONES!B235</f>
        <v>0</v>
      </c>
      <c r="AF10" s="55"/>
      <c r="AG10" s="53"/>
      <c r="AH10" s="53"/>
      <c r="AJ10" s="17">
        <f>+IF(AND(AFIRMACIONES!$C$6&gt;=AL10,AFIRMACIONES!$C$6&lt;=AM10),1,0)</f>
        <v>0</v>
      </c>
      <c r="AK10" s="17">
        <v>9</v>
      </c>
      <c r="AL10" s="47">
        <v>63</v>
      </c>
      <c r="AM10" s="47">
        <v>69</v>
      </c>
      <c r="AN10" s="48" t="s">
        <v>388</v>
      </c>
      <c r="AO10" s="49" t="s">
        <v>407</v>
      </c>
      <c r="AP10" s="477" t="s">
        <v>408</v>
      </c>
      <c r="AQ10" s="388"/>
      <c r="AR10" s="477" t="s">
        <v>409</v>
      </c>
      <c r="AS10" s="388"/>
      <c r="AT10" s="477" t="s">
        <v>410</v>
      </c>
      <c r="AU10" s="388"/>
      <c r="AV10" s="477" t="s">
        <v>411</v>
      </c>
      <c r="AW10" s="388"/>
      <c r="AX10" s="477" t="s">
        <v>412</v>
      </c>
      <c r="AY10" s="388"/>
    </row>
    <row r="11" spans="1:51" ht="12.75" hidden="1" customHeight="1" x14ac:dyDescent="0.25">
      <c r="B11" s="50">
        <v>9</v>
      </c>
      <c r="C11" s="51">
        <v>1</v>
      </c>
      <c r="D11" s="54">
        <f>+AFIRMACIONES!B38</f>
        <v>0</v>
      </c>
      <c r="E11" s="53"/>
      <c r="F11" s="53"/>
      <c r="G11" s="53"/>
      <c r="H11" s="53"/>
      <c r="I11" s="53"/>
      <c r="J11" s="53"/>
      <c r="K11" s="53"/>
      <c r="L11" s="53"/>
      <c r="M11" s="50">
        <v>108</v>
      </c>
      <c r="N11" s="51">
        <v>9</v>
      </c>
      <c r="O11" s="52"/>
      <c r="P11" s="53"/>
      <c r="Q11" s="53"/>
      <c r="R11" s="53"/>
      <c r="S11" s="53"/>
      <c r="T11" s="53"/>
      <c r="U11" s="53"/>
      <c r="V11" s="53"/>
      <c r="W11" s="54">
        <f>+AFIRMACIONES!B137</f>
        <v>0</v>
      </c>
      <c r="X11" s="50">
        <v>207</v>
      </c>
      <c r="Y11" s="51">
        <v>5</v>
      </c>
      <c r="Z11" s="52"/>
      <c r="AA11" s="53"/>
      <c r="AB11" s="55"/>
      <c r="AC11" s="53"/>
      <c r="AD11" s="54">
        <f>+AFIRMACIONES!B236</f>
        <v>0</v>
      </c>
      <c r="AE11" s="53"/>
      <c r="AF11" s="55"/>
      <c r="AG11" s="53"/>
      <c r="AH11" s="53"/>
      <c r="AJ11" s="17">
        <f>+IF(AND(AFIRMACIONES!$C$6&gt;=AL11,AFIRMACIONES!$C$6&lt;=AM11),1,0)</f>
        <v>0</v>
      </c>
      <c r="AK11" s="17">
        <v>10</v>
      </c>
      <c r="AL11" s="47">
        <v>70</v>
      </c>
      <c r="AM11" s="47">
        <v>90</v>
      </c>
      <c r="AN11" s="48" t="s">
        <v>388</v>
      </c>
      <c r="AO11" s="49" t="s">
        <v>413</v>
      </c>
      <c r="AP11" s="477" t="s">
        <v>414</v>
      </c>
      <c r="AQ11" s="388"/>
      <c r="AR11" s="477" t="s">
        <v>415</v>
      </c>
      <c r="AS11" s="388"/>
      <c r="AT11" s="477" t="s">
        <v>416</v>
      </c>
      <c r="AU11" s="388"/>
      <c r="AV11" s="477" t="s">
        <v>417</v>
      </c>
      <c r="AW11" s="388"/>
      <c r="AX11" s="477" t="s">
        <v>418</v>
      </c>
      <c r="AY11" s="388"/>
    </row>
    <row r="12" spans="1:51" ht="12.75" hidden="1" customHeight="1" x14ac:dyDescent="0.25">
      <c r="B12" s="50">
        <v>10</v>
      </c>
      <c r="C12" s="51">
        <v>9</v>
      </c>
      <c r="D12" s="53"/>
      <c r="E12" s="53"/>
      <c r="F12" s="53"/>
      <c r="G12" s="53"/>
      <c r="H12" s="53"/>
      <c r="I12" s="53"/>
      <c r="J12" s="52"/>
      <c r="K12" s="53"/>
      <c r="L12" s="54">
        <f>+AFIRMACIONES!B39</f>
        <v>0</v>
      </c>
      <c r="M12" s="50">
        <v>109</v>
      </c>
      <c r="N12" s="51">
        <v>2</v>
      </c>
      <c r="O12" s="53"/>
      <c r="P12" s="54">
        <f>+AFIRMACIONES!B138</f>
        <v>0</v>
      </c>
      <c r="Q12" s="53"/>
      <c r="R12" s="53"/>
      <c r="S12" s="53"/>
      <c r="T12" s="52"/>
      <c r="U12" s="53"/>
      <c r="V12" s="53"/>
      <c r="W12" s="52"/>
      <c r="X12" s="50">
        <v>208</v>
      </c>
      <c r="Y12" s="51">
        <v>5</v>
      </c>
      <c r="Z12" s="53"/>
      <c r="AA12" s="53"/>
      <c r="AB12" s="55"/>
      <c r="AC12" s="53"/>
      <c r="AD12" s="54">
        <f>+AFIRMACIONES!B237</f>
        <v>0</v>
      </c>
      <c r="AE12" s="53"/>
      <c r="AF12" s="55"/>
      <c r="AG12" s="53"/>
      <c r="AH12" s="53"/>
    </row>
    <row r="13" spans="1:51" ht="12.75" hidden="1" customHeight="1" x14ac:dyDescent="0.25">
      <c r="B13" s="50">
        <v>11</v>
      </c>
      <c r="C13" s="51">
        <v>4</v>
      </c>
      <c r="D13" s="53"/>
      <c r="E13" s="53"/>
      <c r="F13" s="53"/>
      <c r="G13" s="54">
        <f>+AFIRMACIONES!B40</f>
        <v>0</v>
      </c>
      <c r="H13" s="52"/>
      <c r="I13" s="53"/>
      <c r="J13" s="53"/>
      <c r="K13" s="53"/>
      <c r="L13" s="53"/>
      <c r="M13" s="50">
        <v>110</v>
      </c>
      <c r="N13" s="51">
        <v>7</v>
      </c>
      <c r="O13" s="53"/>
      <c r="P13" s="53"/>
      <c r="Q13" s="53"/>
      <c r="R13" s="53"/>
      <c r="S13" s="52"/>
      <c r="T13" s="53"/>
      <c r="U13" s="54">
        <f>+AFIRMACIONES!B139</f>
        <v>0</v>
      </c>
      <c r="V13" s="53"/>
      <c r="W13" s="52"/>
      <c r="X13" s="50">
        <v>209</v>
      </c>
      <c r="Y13" s="51">
        <v>2</v>
      </c>
      <c r="Z13" s="53"/>
      <c r="AA13" s="54">
        <f>+AFIRMACIONES!B238</f>
        <v>0</v>
      </c>
      <c r="AB13" s="55"/>
      <c r="AC13" s="53"/>
      <c r="AD13" s="53"/>
      <c r="AE13" s="53"/>
      <c r="AF13" s="55"/>
      <c r="AG13" s="53"/>
      <c r="AH13" s="53"/>
    </row>
    <row r="14" spans="1:51" ht="12.75" hidden="1" customHeight="1" x14ac:dyDescent="0.25">
      <c r="B14" s="50">
        <v>12</v>
      </c>
      <c r="C14" s="51">
        <v>7</v>
      </c>
      <c r="D14" s="53"/>
      <c r="E14" s="53"/>
      <c r="F14" s="53"/>
      <c r="G14" s="53"/>
      <c r="H14" s="53"/>
      <c r="I14" s="52"/>
      <c r="J14" s="54">
        <f>+AFIRMACIONES!B41</f>
        <v>0</v>
      </c>
      <c r="K14" s="53"/>
      <c r="L14" s="53"/>
      <c r="M14" s="50">
        <v>111</v>
      </c>
      <c r="N14" s="51">
        <v>8</v>
      </c>
      <c r="O14" s="52"/>
      <c r="P14" s="53"/>
      <c r="Q14" s="53"/>
      <c r="R14" s="53"/>
      <c r="S14" s="53"/>
      <c r="T14" s="53"/>
      <c r="U14" s="53"/>
      <c r="V14" s="54">
        <f>+AFIRMACIONES!B140</f>
        <v>0</v>
      </c>
      <c r="W14" s="52"/>
      <c r="X14" s="50">
        <v>210</v>
      </c>
      <c r="Y14" s="51">
        <v>3</v>
      </c>
      <c r="Z14" s="53"/>
      <c r="AA14" s="52"/>
      <c r="AB14" s="54">
        <f>+AFIRMACIONES!B239</f>
        <v>0</v>
      </c>
      <c r="AC14" s="53"/>
      <c r="AD14" s="53"/>
      <c r="AE14" s="52"/>
      <c r="AF14" s="55"/>
      <c r="AG14" s="53"/>
      <c r="AH14" s="53"/>
    </row>
    <row r="15" spans="1:51" ht="12.75" hidden="1" customHeight="1" x14ac:dyDescent="0.25">
      <c r="B15" s="50">
        <v>13</v>
      </c>
      <c r="C15" s="51">
        <v>8</v>
      </c>
      <c r="D15" s="53"/>
      <c r="E15" s="53"/>
      <c r="F15" s="53"/>
      <c r="G15" s="53"/>
      <c r="H15" s="53"/>
      <c r="I15" s="53"/>
      <c r="J15" s="53"/>
      <c r="K15" s="54">
        <f>+AFIRMACIONES!B42</f>
        <v>0</v>
      </c>
      <c r="L15" s="52"/>
      <c r="M15" s="50">
        <v>112</v>
      </c>
      <c r="N15" s="51">
        <v>5</v>
      </c>
      <c r="O15" s="53"/>
      <c r="P15" s="53"/>
      <c r="Q15" s="53"/>
      <c r="R15" s="53"/>
      <c r="S15" s="54">
        <f>+AFIRMACIONES!B141</f>
        <v>0</v>
      </c>
      <c r="T15" s="53"/>
      <c r="U15" s="53"/>
      <c r="V15" s="53"/>
      <c r="W15" s="52"/>
      <c r="X15" s="50">
        <v>211</v>
      </c>
      <c r="Y15" s="51">
        <v>1</v>
      </c>
      <c r="Z15" s="54">
        <f>+AFIRMACIONES!B240</f>
        <v>0</v>
      </c>
      <c r="AA15" s="53"/>
      <c r="AB15" s="55"/>
      <c r="AC15" s="53"/>
      <c r="AD15" s="53"/>
      <c r="AE15" s="52"/>
      <c r="AF15" s="55"/>
      <c r="AG15" s="53"/>
      <c r="AH15" s="53"/>
    </row>
    <row r="16" spans="1:51" ht="12.75" hidden="1" customHeight="1" x14ac:dyDescent="0.25">
      <c r="B16" s="50">
        <v>14</v>
      </c>
      <c r="C16" s="51">
        <v>3</v>
      </c>
      <c r="D16" s="53"/>
      <c r="E16" s="53"/>
      <c r="F16" s="54">
        <f>+AFIRMACIONES!B43</f>
        <v>0</v>
      </c>
      <c r="G16" s="53"/>
      <c r="H16" s="53"/>
      <c r="I16" s="52"/>
      <c r="J16" s="53"/>
      <c r="K16" s="53"/>
      <c r="L16" s="53"/>
      <c r="M16" s="50">
        <v>113</v>
      </c>
      <c r="N16" s="51">
        <v>3</v>
      </c>
      <c r="O16" s="53"/>
      <c r="P16" s="53"/>
      <c r="Q16" s="54">
        <f>+AFIRMACIONES!B142</f>
        <v>0</v>
      </c>
      <c r="R16" s="53"/>
      <c r="S16" s="52"/>
      <c r="T16" s="53"/>
      <c r="U16" s="53"/>
      <c r="V16" s="53"/>
      <c r="W16" s="52"/>
      <c r="X16" s="50">
        <v>212</v>
      </c>
      <c r="Y16" s="51">
        <v>6</v>
      </c>
      <c r="Z16" s="53"/>
      <c r="AA16" s="53"/>
      <c r="AB16" s="55"/>
      <c r="AC16" s="53"/>
      <c r="AD16" s="52"/>
      <c r="AE16" s="54">
        <f>+AFIRMACIONES!B241</f>
        <v>0</v>
      </c>
      <c r="AF16" s="55"/>
      <c r="AG16" s="53"/>
      <c r="AH16" s="53"/>
    </row>
    <row r="17" spans="2:34" ht="12.75" hidden="1" customHeight="1" x14ac:dyDescent="0.25">
      <c r="B17" s="50">
        <v>15</v>
      </c>
      <c r="C17" s="51">
        <v>1</v>
      </c>
      <c r="D17" s="54">
        <f>+AFIRMACIONES!B44</f>
        <v>0</v>
      </c>
      <c r="E17" s="53"/>
      <c r="F17" s="53"/>
      <c r="G17" s="53"/>
      <c r="H17" s="53"/>
      <c r="I17" s="53"/>
      <c r="J17" s="53"/>
      <c r="K17" s="53"/>
      <c r="L17" s="53"/>
      <c r="M17" s="50">
        <v>114</v>
      </c>
      <c r="N17" s="51">
        <v>4</v>
      </c>
      <c r="O17" s="53"/>
      <c r="P17" s="53"/>
      <c r="Q17" s="53"/>
      <c r="R17" s="54">
        <f>+AFIRMACIONES!B143</f>
        <v>0</v>
      </c>
      <c r="S17" s="53"/>
      <c r="T17" s="53"/>
      <c r="U17" s="52"/>
      <c r="V17" s="53"/>
      <c r="W17" s="52"/>
      <c r="X17" s="50">
        <v>213</v>
      </c>
      <c r="Y17" s="51">
        <v>9</v>
      </c>
      <c r="Z17" s="52"/>
      <c r="AA17" s="53"/>
      <c r="AB17" s="55"/>
      <c r="AC17" s="53"/>
      <c r="AD17" s="53"/>
      <c r="AE17" s="53"/>
      <c r="AF17" s="55"/>
      <c r="AG17" s="53"/>
      <c r="AH17" s="54">
        <f>+AFIRMACIONES!B242</f>
        <v>0</v>
      </c>
    </row>
    <row r="18" spans="2:34" ht="12.75" hidden="1" customHeight="1" x14ac:dyDescent="0.25">
      <c r="B18" s="50">
        <v>16</v>
      </c>
      <c r="C18" s="51">
        <v>6</v>
      </c>
      <c r="D18" s="53"/>
      <c r="E18" s="53"/>
      <c r="F18" s="53"/>
      <c r="G18" s="53"/>
      <c r="H18" s="53"/>
      <c r="I18" s="54">
        <f>+AFIRMACIONES!B45</f>
        <v>0</v>
      </c>
      <c r="J18" s="53"/>
      <c r="K18" s="53"/>
      <c r="L18" s="52"/>
      <c r="M18" s="50">
        <v>115</v>
      </c>
      <c r="N18" s="51">
        <v>6</v>
      </c>
      <c r="O18" s="53"/>
      <c r="P18" s="53"/>
      <c r="Q18" s="53"/>
      <c r="R18" s="53"/>
      <c r="S18" s="53"/>
      <c r="T18" s="54">
        <f>+AFIRMACIONES!B144</f>
        <v>0</v>
      </c>
      <c r="U18" s="52"/>
      <c r="V18" s="53"/>
      <c r="W18" s="52"/>
      <c r="X18" s="50">
        <v>214</v>
      </c>
      <c r="Y18" s="51">
        <v>4</v>
      </c>
      <c r="Z18" s="53"/>
      <c r="AA18" s="53"/>
      <c r="AB18" s="56"/>
      <c r="AC18" s="54">
        <f>+AFIRMACIONES!B243</f>
        <v>0</v>
      </c>
      <c r="AD18" s="53"/>
      <c r="AE18" s="53"/>
      <c r="AF18" s="55"/>
      <c r="AG18" s="53"/>
      <c r="AH18" s="53"/>
    </row>
    <row r="19" spans="2:34" ht="12.75" hidden="1" customHeight="1" x14ac:dyDescent="0.25">
      <c r="B19" s="50">
        <v>17</v>
      </c>
      <c r="C19" s="51">
        <v>2</v>
      </c>
      <c r="D19" s="52"/>
      <c r="E19" s="54">
        <f>+AFIRMACIONES!B46</f>
        <v>0</v>
      </c>
      <c r="F19" s="53"/>
      <c r="G19" s="53"/>
      <c r="H19" s="53"/>
      <c r="I19" s="53"/>
      <c r="J19" s="53"/>
      <c r="K19" s="52"/>
      <c r="L19" s="53"/>
      <c r="M19" s="50">
        <v>116</v>
      </c>
      <c r="N19" s="51">
        <v>1</v>
      </c>
      <c r="O19" s="54">
        <f>+AFIRMACIONES!B145</f>
        <v>0</v>
      </c>
      <c r="P19" s="53"/>
      <c r="Q19" s="53"/>
      <c r="R19" s="53"/>
      <c r="S19" s="53"/>
      <c r="T19" s="53"/>
      <c r="U19" s="52"/>
      <c r="V19" s="53"/>
      <c r="W19" s="52"/>
      <c r="X19" s="50">
        <v>215</v>
      </c>
      <c r="Y19" s="51">
        <v>8</v>
      </c>
      <c r="Z19" s="53"/>
      <c r="AA19" s="53"/>
      <c r="AB19" s="56"/>
      <c r="AC19" s="53"/>
      <c r="AD19" s="53"/>
      <c r="AE19" s="53"/>
      <c r="AF19" s="55"/>
      <c r="AG19" s="54">
        <f>+AFIRMACIONES!B244</f>
        <v>0</v>
      </c>
      <c r="AH19" s="53"/>
    </row>
    <row r="20" spans="2:34" ht="12.75" hidden="1" customHeight="1" x14ac:dyDescent="0.25">
      <c r="B20" s="50">
        <v>18</v>
      </c>
      <c r="C20" s="51">
        <v>5</v>
      </c>
      <c r="D20" s="53"/>
      <c r="E20" s="53"/>
      <c r="F20" s="53"/>
      <c r="G20" s="53"/>
      <c r="H20" s="54">
        <f>+AFIRMACIONES!B47</f>
        <v>0</v>
      </c>
      <c r="I20" s="52"/>
      <c r="J20" s="53"/>
      <c r="K20" s="53"/>
      <c r="L20" s="53"/>
      <c r="M20" s="50">
        <v>117</v>
      </c>
      <c r="N20" s="51">
        <v>9</v>
      </c>
      <c r="O20" s="53"/>
      <c r="P20" s="53"/>
      <c r="Q20" s="53"/>
      <c r="R20" s="53"/>
      <c r="S20" s="53"/>
      <c r="T20" s="53"/>
      <c r="U20" s="52"/>
      <c r="V20" s="53"/>
      <c r="W20" s="54">
        <f>+AFIRMACIONES!B146</f>
        <v>0</v>
      </c>
      <c r="X20" s="50">
        <v>216</v>
      </c>
      <c r="Y20" s="51">
        <v>7</v>
      </c>
      <c r="Z20" s="52"/>
      <c r="AA20" s="53"/>
      <c r="AB20" s="55"/>
      <c r="AC20" s="53"/>
      <c r="AD20" s="53"/>
      <c r="AE20" s="53"/>
      <c r="AF20" s="54">
        <f>+AFIRMACIONES!B245</f>
        <v>0</v>
      </c>
      <c r="AG20" s="53"/>
      <c r="AH20" s="53"/>
    </row>
    <row r="21" spans="2:34" ht="12.75" hidden="1" customHeight="1" x14ac:dyDescent="0.25">
      <c r="B21" s="50">
        <v>19</v>
      </c>
      <c r="C21" s="51">
        <v>8</v>
      </c>
      <c r="D21" s="53"/>
      <c r="E21" s="53"/>
      <c r="F21" s="53"/>
      <c r="G21" s="53"/>
      <c r="H21" s="53"/>
      <c r="I21" s="52"/>
      <c r="J21" s="53"/>
      <c r="K21" s="54">
        <f>+AFIRMACIONES!B48</f>
        <v>0</v>
      </c>
      <c r="L21" s="53"/>
      <c r="M21" s="50">
        <v>118</v>
      </c>
      <c r="N21" s="51">
        <v>3</v>
      </c>
      <c r="O21" s="53"/>
      <c r="P21" s="52"/>
      <c r="Q21" s="54">
        <f>+AFIRMACIONES!B147</f>
        <v>0</v>
      </c>
      <c r="R21" s="53"/>
      <c r="S21" s="53"/>
      <c r="T21" s="53"/>
      <c r="U21" s="53"/>
      <c r="V21" s="53"/>
      <c r="W21" s="52"/>
      <c r="X21" s="50">
        <v>217</v>
      </c>
      <c r="Y21" s="51">
        <v>3</v>
      </c>
      <c r="Z21" s="53"/>
      <c r="AA21" s="52"/>
      <c r="AB21" s="54">
        <f>+AFIRMACIONES!B246</f>
        <v>0</v>
      </c>
      <c r="AC21" s="53"/>
      <c r="AD21" s="53"/>
      <c r="AE21" s="53"/>
      <c r="AF21" s="55"/>
      <c r="AG21" s="53"/>
      <c r="AH21" s="53"/>
    </row>
    <row r="22" spans="2:34" ht="12.75" hidden="1" customHeight="1" x14ac:dyDescent="0.25">
      <c r="B22" s="50">
        <v>20</v>
      </c>
      <c r="C22" s="51">
        <v>5</v>
      </c>
      <c r="D22" s="53"/>
      <c r="E22" s="52"/>
      <c r="F22" s="53"/>
      <c r="G22" s="53"/>
      <c r="H22" s="54">
        <f>+AFIRMACIONES!B49</f>
        <v>0</v>
      </c>
      <c r="I22" s="53"/>
      <c r="J22" s="53"/>
      <c r="K22" s="53"/>
      <c r="L22" s="53"/>
      <c r="M22" s="50">
        <v>119</v>
      </c>
      <c r="N22" s="51">
        <v>7</v>
      </c>
      <c r="O22" s="53"/>
      <c r="P22" s="53"/>
      <c r="Q22" s="53"/>
      <c r="R22" s="53"/>
      <c r="S22" s="53"/>
      <c r="T22" s="52"/>
      <c r="U22" s="54">
        <f>+AFIRMACIONES!B148</f>
        <v>0</v>
      </c>
      <c r="V22" s="53"/>
      <c r="W22" s="52"/>
      <c r="X22" s="50">
        <v>218</v>
      </c>
      <c r="Y22" s="51">
        <v>4</v>
      </c>
      <c r="Z22" s="53"/>
      <c r="AA22" s="53"/>
      <c r="AB22" s="55"/>
      <c r="AC22" s="54">
        <f>+AFIRMACIONES!B247</f>
        <v>0</v>
      </c>
      <c r="AD22" s="53"/>
      <c r="AE22" s="52"/>
      <c r="AF22" s="55"/>
      <c r="AG22" s="53"/>
      <c r="AH22" s="53"/>
    </row>
    <row r="23" spans="2:34" ht="12.75" hidden="1" customHeight="1" x14ac:dyDescent="0.25">
      <c r="B23" s="50">
        <v>21</v>
      </c>
      <c r="C23" s="51">
        <v>2</v>
      </c>
      <c r="D23" s="52"/>
      <c r="E23" s="54">
        <f>+AFIRMACIONES!B50</f>
        <v>0</v>
      </c>
      <c r="F23" s="53"/>
      <c r="G23" s="53"/>
      <c r="H23" s="53"/>
      <c r="I23" s="52"/>
      <c r="J23" s="53"/>
      <c r="K23" s="53"/>
      <c r="L23" s="53"/>
      <c r="M23" s="50">
        <v>120</v>
      </c>
      <c r="N23" s="51">
        <v>1</v>
      </c>
      <c r="O23" s="54">
        <f>+AFIRMACIONES!B149</f>
        <v>0</v>
      </c>
      <c r="P23" s="53"/>
      <c r="Q23" s="53"/>
      <c r="R23" s="53"/>
      <c r="S23" s="53"/>
      <c r="T23" s="53"/>
      <c r="U23" s="52"/>
      <c r="V23" s="53"/>
      <c r="W23" s="52"/>
      <c r="X23" s="50">
        <v>219</v>
      </c>
      <c r="Y23" s="51">
        <v>7</v>
      </c>
      <c r="Z23" s="53"/>
      <c r="AA23" s="53"/>
      <c r="AB23" s="56"/>
      <c r="AC23" s="53"/>
      <c r="AD23" s="53"/>
      <c r="AE23" s="53"/>
      <c r="AF23" s="54">
        <f>+AFIRMACIONES!B248</f>
        <v>0</v>
      </c>
      <c r="AG23" s="53"/>
      <c r="AH23" s="53"/>
    </row>
    <row r="24" spans="2:34" ht="12.75" hidden="1" customHeight="1" x14ac:dyDescent="0.25">
      <c r="B24" s="50">
        <v>22</v>
      </c>
      <c r="C24" s="51">
        <v>4</v>
      </c>
      <c r="D24" s="52"/>
      <c r="E24" s="53"/>
      <c r="F24" s="53"/>
      <c r="G24" s="54">
        <f>+AFIRMACIONES!B51</f>
        <v>0</v>
      </c>
      <c r="H24" s="53"/>
      <c r="I24" s="53"/>
      <c r="J24" s="53"/>
      <c r="K24" s="53"/>
      <c r="L24" s="53"/>
      <c r="M24" s="50">
        <v>121</v>
      </c>
      <c r="N24" s="51">
        <v>5</v>
      </c>
      <c r="O24" s="53"/>
      <c r="P24" s="53"/>
      <c r="Q24" s="53"/>
      <c r="R24" s="52"/>
      <c r="S24" s="54">
        <f>+AFIRMACIONES!B150</f>
        <v>0</v>
      </c>
      <c r="T24" s="53"/>
      <c r="U24" s="53"/>
      <c r="V24" s="53"/>
      <c r="W24" s="52"/>
      <c r="X24" s="50">
        <v>220</v>
      </c>
      <c r="Y24" s="51">
        <v>9</v>
      </c>
      <c r="Z24" s="53"/>
      <c r="AA24" s="53"/>
      <c r="AB24" s="55"/>
      <c r="AC24" s="53"/>
      <c r="AD24" s="53"/>
      <c r="AE24" s="53"/>
      <c r="AF24" s="55"/>
      <c r="AG24" s="53"/>
      <c r="AH24" s="54">
        <f>+AFIRMACIONES!B249</f>
        <v>0</v>
      </c>
    </row>
    <row r="25" spans="2:34" ht="12.75" hidden="1" customHeight="1" x14ac:dyDescent="0.25">
      <c r="B25" s="50">
        <v>23</v>
      </c>
      <c r="C25" s="51">
        <v>7</v>
      </c>
      <c r="D25" s="52"/>
      <c r="E25" s="53"/>
      <c r="F25" s="53"/>
      <c r="G25" s="53"/>
      <c r="H25" s="53"/>
      <c r="I25" s="53"/>
      <c r="J25" s="54">
        <f>+AFIRMACIONES!B52</f>
        <v>0</v>
      </c>
      <c r="K25" s="53"/>
      <c r="L25" s="53"/>
      <c r="M25" s="50">
        <v>122</v>
      </c>
      <c r="N25" s="51">
        <v>2</v>
      </c>
      <c r="O25" s="53"/>
      <c r="P25" s="54">
        <f>+AFIRMACIONES!B151</f>
        <v>0</v>
      </c>
      <c r="Q25" s="53"/>
      <c r="R25" s="53"/>
      <c r="S25" s="52"/>
      <c r="T25" s="53"/>
      <c r="U25" s="53"/>
      <c r="V25" s="53"/>
      <c r="W25" s="52"/>
      <c r="X25" s="50">
        <v>221</v>
      </c>
      <c r="Y25" s="51">
        <v>8</v>
      </c>
      <c r="Z25" s="52"/>
      <c r="AA25" s="53"/>
      <c r="AB25" s="55"/>
      <c r="AC25" s="53"/>
      <c r="AD25" s="53"/>
      <c r="AE25" s="53"/>
      <c r="AF25" s="55"/>
      <c r="AG25" s="54">
        <f>+AFIRMACIONES!B250</f>
        <v>0</v>
      </c>
      <c r="AH25" s="53"/>
    </row>
    <row r="26" spans="2:34" ht="12.75" hidden="1" customHeight="1" x14ac:dyDescent="0.25">
      <c r="B26" s="50">
        <v>24</v>
      </c>
      <c r="C26" s="51">
        <v>1</v>
      </c>
      <c r="D26" s="54">
        <f>+AFIRMACIONES!B53</f>
        <v>0</v>
      </c>
      <c r="E26" s="53"/>
      <c r="F26" s="53"/>
      <c r="G26" s="53"/>
      <c r="H26" s="53"/>
      <c r="I26" s="53"/>
      <c r="J26" s="53"/>
      <c r="K26" s="53"/>
      <c r="L26" s="53"/>
      <c r="M26" s="50">
        <v>123</v>
      </c>
      <c r="N26" s="51">
        <v>4</v>
      </c>
      <c r="O26" s="53"/>
      <c r="P26" s="53"/>
      <c r="Q26" s="53"/>
      <c r="R26" s="54">
        <f>+AFIRMACIONES!B152</f>
        <v>0</v>
      </c>
      <c r="S26" s="53"/>
      <c r="T26" s="53"/>
      <c r="U26" s="53"/>
      <c r="V26" s="53"/>
      <c r="W26" s="52"/>
      <c r="X26" s="50">
        <v>222</v>
      </c>
      <c r="Y26" s="51">
        <v>5</v>
      </c>
      <c r="Z26" s="53"/>
      <c r="AA26" s="53"/>
      <c r="AB26" s="55"/>
      <c r="AC26" s="53"/>
      <c r="AD26" s="54">
        <f>+AFIRMACIONES!B251</f>
        <v>0</v>
      </c>
      <c r="AE26" s="53"/>
      <c r="AF26" s="55"/>
      <c r="AG26" s="53"/>
      <c r="AH26" s="53"/>
    </row>
    <row r="27" spans="2:34" ht="12.75" hidden="1" customHeight="1" x14ac:dyDescent="0.25">
      <c r="B27" s="50">
        <v>25</v>
      </c>
      <c r="C27" s="51">
        <v>9</v>
      </c>
      <c r="D27" s="53"/>
      <c r="E27" s="53"/>
      <c r="F27" s="53"/>
      <c r="G27" s="52"/>
      <c r="H27" s="53"/>
      <c r="I27" s="53"/>
      <c r="J27" s="53"/>
      <c r="K27" s="53"/>
      <c r="L27" s="54">
        <f>+AFIRMACIONES!B54</f>
        <v>0</v>
      </c>
      <c r="M27" s="50">
        <v>124</v>
      </c>
      <c r="N27" s="51">
        <v>8</v>
      </c>
      <c r="O27" s="53"/>
      <c r="P27" s="53"/>
      <c r="Q27" s="53"/>
      <c r="R27" s="53"/>
      <c r="S27" s="53"/>
      <c r="T27" s="52"/>
      <c r="U27" s="53"/>
      <c r="V27" s="54">
        <f>+AFIRMACIONES!B153</f>
        <v>0</v>
      </c>
      <c r="W27" s="52"/>
      <c r="X27" s="50">
        <v>223</v>
      </c>
      <c r="Y27" s="51">
        <v>1</v>
      </c>
      <c r="Z27" s="54">
        <f>+AFIRMACIONES!B252</f>
        <v>0</v>
      </c>
      <c r="AA27" s="53"/>
      <c r="AB27" s="55"/>
      <c r="AC27" s="53"/>
      <c r="AD27" s="53"/>
      <c r="AE27" s="53"/>
      <c r="AF27" s="55"/>
      <c r="AG27" s="53"/>
      <c r="AH27" s="53"/>
    </row>
    <row r="28" spans="2:34" ht="12.75" hidden="1" customHeight="1" x14ac:dyDescent="0.25">
      <c r="B28" s="50">
        <v>26</v>
      </c>
      <c r="C28" s="51">
        <v>3</v>
      </c>
      <c r="D28" s="53"/>
      <c r="E28" s="53"/>
      <c r="F28" s="54">
        <f>+AFIRMACIONES!B55</f>
        <v>0</v>
      </c>
      <c r="G28" s="53"/>
      <c r="H28" s="53"/>
      <c r="I28" s="52"/>
      <c r="J28" s="53"/>
      <c r="K28" s="53"/>
      <c r="L28" s="53"/>
      <c r="M28" s="50">
        <v>125</v>
      </c>
      <c r="N28" s="51">
        <v>9</v>
      </c>
      <c r="O28" s="53"/>
      <c r="P28" s="52"/>
      <c r="Q28" s="53"/>
      <c r="R28" s="53"/>
      <c r="S28" s="53"/>
      <c r="T28" s="53"/>
      <c r="U28" s="53"/>
      <c r="V28" s="53"/>
      <c r="W28" s="54">
        <f>+AFIRMACIONES!B154</f>
        <v>0</v>
      </c>
      <c r="X28" s="50">
        <v>224</v>
      </c>
      <c r="Y28" s="51">
        <v>2</v>
      </c>
      <c r="Z28" s="53"/>
      <c r="AA28" s="54">
        <f>+AFIRMACIONES!B253</f>
        <v>0</v>
      </c>
      <c r="AB28" s="55"/>
      <c r="AC28" s="53"/>
      <c r="AD28" s="53"/>
      <c r="AE28" s="52"/>
      <c r="AF28" s="55"/>
      <c r="AG28" s="53"/>
      <c r="AH28" s="53"/>
    </row>
    <row r="29" spans="2:34" ht="12.75" hidden="1" customHeight="1" x14ac:dyDescent="0.25">
      <c r="B29" s="50">
        <v>27</v>
      </c>
      <c r="C29" s="51">
        <v>6</v>
      </c>
      <c r="D29" s="53"/>
      <c r="E29" s="53"/>
      <c r="F29" s="53"/>
      <c r="G29" s="53"/>
      <c r="H29" s="53"/>
      <c r="I29" s="54">
        <f>+AFIRMACIONES!B56</f>
        <v>0</v>
      </c>
      <c r="J29" s="53"/>
      <c r="K29" s="52"/>
      <c r="L29" s="53"/>
      <c r="M29" s="50">
        <v>126</v>
      </c>
      <c r="N29" s="51">
        <v>6</v>
      </c>
      <c r="O29" s="53"/>
      <c r="P29" s="53"/>
      <c r="Q29" s="53"/>
      <c r="R29" s="53"/>
      <c r="S29" s="53"/>
      <c r="T29" s="54">
        <f>+AFIRMACIONES!B155</f>
        <v>0</v>
      </c>
      <c r="U29" s="52"/>
      <c r="V29" s="53"/>
      <c r="W29" s="52"/>
      <c r="X29" s="50">
        <v>225</v>
      </c>
      <c r="Y29" s="51">
        <v>6</v>
      </c>
      <c r="Z29" s="53"/>
      <c r="AA29" s="52"/>
      <c r="AB29" s="55"/>
      <c r="AC29" s="53"/>
      <c r="AD29" s="53"/>
      <c r="AE29" s="54">
        <f>+AFIRMACIONES!B254</f>
        <v>0</v>
      </c>
      <c r="AF29" s="55"/>
      <c r="AG29" s="53"/>
      <c r="AH29" s="53"/>
    </row>
    <row r="30" spans="2:34" ht="12.75" hidden="1" customHeight="1" x14ac:dyDescent="0.25">
      <c r="B30" s="50">
        <v>28</v>
      </c>
      <c r="C30" s="51">
        <v>2</v>
      </c>
      <c r="D30" s="52"/>
      <c r="E30" s="54">
        <f>+AFIRMACIONES!B57</f>
        <v>0</v>
      </c>
      <c r="F30" s="52"/>
      <c r="G30" s="53"/>
      <c r="H30" s="53"/>
      <c r="I30" s="53"/>
      <c r="J30" s="53"/>
      <c r="K30" s="53"/>
      <c r="L30" s="53"/>
      <c r="M30" s="50">
        <v>127</v>
      </c>
      <c r="N30" s="51">
        <v>6</v>
      </c>
      <c r="O30" s="53"/>
      <c r="P30" s="52"/>
      <c r="Q30" s="53"/>
      <c r="R30" s="53"/>
      <c r="S30" s="53"/>
      <c r="T30" s="54">
        <f>+AFIRMACIONES!B156</f>
        <v>0</v>
      </c>
      <c r="U30" s="53"/>
      <c r="V30" s="53"/>
      <c r="W30" s="52"/>
      <c r="X30" s="50">
        <v>226</v>
      </c>
      <c r="Y30" s="51">
        <v>1</v>
      </c>
      <c r="Z30" s="54">
        <f>+AFIRMACIONES!B255</f>
        <v>0</v>
      </c>
      <c r="AA30" s="53"/>
      <c r="AB30" s="55"/>
      <c r="AC30" s="53"/>
      <c r="AD30" s="52"/>
      <c r="AE30" s="53"/>
      <c r="AF30" s="55"/>
      <c r="AG30" s="53"/>
      <c r="AH30" s="53"/>
    </row>
    <row r="31" spans="2:34" ht="12.75" hidden="1" customHeight="1" x14ac:dyDescent="0.25">
      <c r="B31" s="50">
        <v>29</v>
      </c>
      <c r="C31" s="51">
        <v>3</v>
      </c>
      <c r="D31" s="53"/>
      <c r="E31" s="53"/>
      <c r="F31" s="54">
        <f>+AFIRMACIONES!B58</f>
        <v>0</v>
      </c>
      <c r="G31" s="53"/>
      <c r="H31" s="53"/>
      <c r="I31" s="53"/>
      <c r="J31" s="53"/>
      <c r="K31" s="52"/>
      <c r="L31" s="53"/>
      <c r="M31" s="50">
        <v>128</v>
      </c>
      <c r="N31" s="51">
        <v>1</v>
      </c>
      <c r="O31" s="54">
        <f>+AFIRMACIONES!B157</f>
        <v>0</v>
      </c>
      <c r="P31" s="53"/>
      <c r="Q31" s="53"/>
      <c r="R31" s="53"/>
      <c r="S31" s="53"/>
      <c r="T31" s="53"/>
      <c r="U31" s="52"/>
      <c r="V31" s="53"/>
      <c r="W31" s="52"/>
      <c r="X31" s="50">
        <v>227</v>
      </c>
      <c r="Y31" s="51">
        <v>2</v>
      </c>
      <c r="Z31" s="53"/>
      <c r="AA31" s="54">
        <f>+AFIRMACIONES!B256</f>
        <v>0</v>
      </c>
      <c r="AB31" s="55"/>
      <c r="AC31" s="53"/>
      <c r="AD31" s="53"/>
      <c r="AE31" s="52"/>
      <c r="AF31" s="55"/>
      <c r="AG31" s="53"/>
      <c r="AH31" s="53"/>
    </row>
    <row r="32" spans="2:34" ht="12.75" hidden="1" customHeight="1" x14ac:dyDescent="0.25">
      <c r="B32" s="50">
        <v>30</v>
      </c>
      <c r="C32" s="51">
        <v>8</v>
      </c>
      <c r="D32" s="53"/>
      <c r="E32" s="52"/>
      <c r="F32" s="53"/>
      <c r="G32" s="53"/>
      <c r="H32" s="53"/>
      <c r="I32" s="53"/>
      <c r="J32" s="53"/>
      <c r="K32" s="54">
        <f>+AFIRMACIONES!B59</f>
        <v>0</v>
      </c>
      <c r="L32" s="53"/>
      <c r="M32" s="50">
        <v>129</v>
      </c>
      <c r="N32" s="51">
        <v>2</v>
      </c>
      <c r="O32" s="53"/>
      <c r="P32" s="54">
        <f>+AFIRMACIONES!B158</f>
        <v>0</v>
      </c>
      <c r="Q32" s="53"/>
      <c r="R32" s="53"/>
      <c r="S32" s="53"/>
      <c r="T32" s="53"/>
      <c r="U32" s="53"/>
      <c r="V32" s="53"/>
      <c r="W32" s="52"/>
      <c r="X32" s="50">
        <v>228</v>
      </c>
      <c r="Y32" s="51">
        <v>5</v>
      </c>
      <c r="Z32" s="53"/>
      <c r="AA32" s="53"/>
      <c r="AB32" s="55"/>
      <c r="AC32" s="53"/>
      <c r="AD32" s="54">
        <f>+AFIRMACIONES!B257</f>
        <v>0</v>
      </c>
      <c r="AE32" s="53"/>
      <c r="AF32" s="55"/>
      <c r="AG32" s="53"/>
      <c r="AH32" s="53"/>
    </row>
    <row r="33" spans="2:34" ht="12.75" hidden="1" customHeight="1" x14ac:dyDescent="0.25">
      <c r="B33" s="50">
        <v>31</v>
      </c>
      <c r="C33" s="51">
        <v>5</v>
      </c>
      <c r="D33" s="53"/>
      <c r="E33" s="53"/>
      <c r="F33" s="52"/>
      <c r="G33" s="53"/>
      <c r="H33" s="54">
        <f>+AFIRMACIONES!B60</f>
        <v>0</v>
      </c>
      <c r="I33" s="53"/>
      <c r="J33" s="53"/>
      <c r="K33" s="53"/>
      <c r="L33" s="53"/>
      <c r="M33" s="50">
        <v>130</v>
      </c>
      <c r="N33" s="51">
        <v>8</v>
      </c>
      <c r="O33" s="53"/>
      <c r="P33" s="53"/>
      <c r="Q33" s="53"/>
      <c r="R33" s="53"/>
      <c r="S33" s="53"/>
      <c r="T33" s="53"/>
      <c r="U33" s="52"/>
      <c r="V33" s="54">
        <f>+AFIRMACIONES!B159</f>
        <v>0</v>
      </c>
      <c r="W33" s="52"/>
      <c r="X33" s="50">
        <v>229</v>
      </c>
      <c r="Y33" s="51">
        <v>6</v>
      </c>
      <c r="Z33" s="53"/>
      <c r="AA33" s="53"/>
      <c r="AB33" s="55"/>
      <c r="AC33" s="53"/>
      <c r="AD33" s="53"/>
      <c r="AE33" s="54">
        <f>+AFIRMACIONES!B258</f>
        <v>0</v>
      </c>
      <c r="AF33" s="55"/>
      <c r="AG33" s="53"/>
      <c r="AH33" s="53"/>
    </row>
    <row r="34" spans="2:34" ht="12.75" hidden="1" customHeight="1" x14ac:dyDescent="0.25">
      <c r="B34" s="50">
        <v>32</v>
      </c>
      <c r="C34" s="51">
        <v>1</v>
      </c>
      <c r="D34" s="54">
        <f>+AFIRMACIONES!B61</f>
        <v>0</v>
      </c>
      <c r="E34" s="53"/>
      <c r="F34" s="53"/>
      <c r="G34" s="53"/>
      <c r="H34" s="53"/>
      <c r="I34" s="53"/>
      <c r="J34" s="53"/>
      <c r="K34" s="52"/>
      <c r="L34" s="53"/>
      <c r="M34" s="50">
        <v>131</v>
      </c>
      <c r="N34" s="51">
        <v>3</v>
      </c>
      <c r="O34" s="53"/>
      <c r="P34" s="53"/>
      <c r="Q34" s="54">
        <f>+AFIRMACIONES!B160</f>
        <v>0</v>
      </c>
      <c r="R34" s="53"/>
      <c r="S34" s="53"/>
      <c r="T34" s="53"/>
      <c r="U34" s="53"/>
      <c r="V34" s="53"/>
      <c r="W34" s="52"/>
      <c r="X34" s="50">
        <v>230</v>
      </c>
      <c r="Y34" s="51">
        <v>8</v>
      </c>
      <c r="Z34" s="52"/>
      <c r="AA34" s="53"/>
      <c r="AB34" s="55"/>
      <c r="AC34" s="52"/>
      <c r="AD34" s="53"/>
      <c r="AE34" s="53"/>
      <c r="AF34" s="55"/>
      <c r="AG34" s="54">
        <f>+AFIRMACIONES!B259</f>
        <v>0</v>
      </c>
      <c r="AH34" s="53"/>
    </row>
    <row r="35" spans="2:34" ht="12.75" hidden="1" customHeight="1" x14ac:dyDescent="0.25">
      <c r="B35" s="50">
        <v>33</v>
      </c>
      <c r="C35" s="51">
        <v>6</v>
      </c>
      <c r="D35" s="53"/>
      <c r="E35" s="52"/>
      <c r="F35" s="53"/>
      <c r="G35" s="53"/>
      <c r="H35" s="53"/>
      <c r="I35" s="54">
        <f>+AFIRMACIONES!B62</f>
        <v>0</v>
      </c>
      <c r="J35" s="53"/>
      <c r="K35" s="53"/>
      <c r="L35" s="53"/>
      <c r="M35" s="50">
        <v>132</v>
      </c>
      <c r="N35" s="51">
        <v>7</v>
      </c>
      <c r="O35" s="53"/>
      <c r="P35" s="53"/>
      <c r="Q35" s="52"/>
      <c r="R35" s="53"/>
      <c r="S35" s="53"/>
      <c r="T35" s="53"/>
      <c r="U35" s="54">
        <f>+AFIRMACIONES!B161</f>
        <v>0</v>
      </c>
      <c r="V35" s="53"/>
      <c r="W35" s="52"/>
      <c r="X35" s="50">
        <v>231</v>
      </c>
      <c r="Y35" s="51">
        <v>9</v>
      </c>
      <c r="Z35" s="53"/>
      <c r="AA35" s="53"/>
      <c r="AB35" s="55"/>
      <c r="AC35" s="53"/>
      <c r="AD35" s="53"/>
      <c r="AE35" s="53"/>
      <c r="AF35" s="55"/>
      <c r="AG35" s="53"/>
      <c r="AH35" s="54">
        <f>+AFIRMACIONES!B260</f>
        <v>0</v>
      </c>
    </row>
    <row r="36" spans="2:34" ht="12.75" hidden="1" customHeight="1" x14ac:dyDescent="0.25">
      <c r="B36" s="50">
        <v>34</v>
      </c>
      <c r="C36" s="51">
        <v>9</v>
      </c>
      <c r="D36" s="53"/>
      <c r="E36" s="53"/>
      <c r="F36" s="52"/>
      <c r="G36" s="53"/>
      <c r="H36" s="53"/>
      <c r="I36" s="53"/>
      <c r="J36" s="53"/>
      <c r="K36" s="53"/>
      <c r="L36" s="54">
        <f>+AFIRMACIONES!B63</f>
        <v>0</v>
      </c>
      <c r="M36" s="50">
        <v>133</v>
      </c>
      <c r="N36" s="51">
        <v>5</v>
      </c>
      <c r="O36" s="53"/>
      <c r="P36" s="53"/>
      <c r="Q36" s="53"/>
      <c r="R36" s="53"/>
      <c r="S36" s="54">
        <f>+AFIRMACIONES!B162</f>
        <v>0</v>
      </c>
      <c r="T36" s="53"/>
      <c r="U36" s="53"/>
      <c r="V36" s="53"/>
      <c r="W36" s="52"/>
      <c r="X36" s="50">
        <v>232</v>
      </c>
      <c r="Y36" s="51">
        <v>4</v>
      </c>
      <c r="Z36" s="53"/>
      <c r="AA36" s="53"/>
      <c r="AB36" s="55"/>
      <c r="AC36" s="54">
        <f>+AFIRMACIONES!B261</f>
        <v>0</v>
      </c>
      <c r="AD36" s="52"/>
      <c r="AE36" s="53"/>
      <c r="AF36" s="55"/>
      <c r="AG36" s="53"/>
      <c r="AH36" s="53"/>
    </row>
    <row r="37" spans="2:34" ht="12.75" hidden="1" customHeight="1" x14ac:dyDescent="0.25">
      <c r="B37" s="50">
        <v>35</v>
      </c>
      <c r="C37" s="51">
        <v>4</v>
      </c>
      <c r="D37" s="53"/>
      <c r="E37" s="53"/>
      <c r="F37" s="53"/>
      <c r="G37" s="54">
        <f>+AFIRMACIONES!B64</f>
        <v>0</v>
      </c>
      <c r="H37" s="52"/>
      <c r="I37" s="53"/>
      <c r="J37" s="53"/>
      <c r="K37" s="53"/>
      <c r="L37" s="53"/>
      <c r="M37" s="50">
        <v>134</v>
      </c>
      <c r="N37" s="51">
        <v>4</v>
      </c>
      <c r="O37" s="53"/>
      <c r="P37" s="53"/>
      <c r="Q37" s="52"/>
      <c r="R37" s="54">
        <f>+AFIRMACIONES!B163</f>
        <v>0</v>
      </c>
      <c r="S37" s="53"/>
      <c r="T37" s="53"/>
      <c r="U37" s="53"/>
      <c r="V37" s="53"/>
      <c r="W37" s="52"/>
      <c r="X37" s="50">
        <v>233</v>
      </c>
      <c r="Y37" s="51">
        <v>7</v>
      </c>
      <c r="Z37" s="53"/>
      <c r="AA37" s="53"/>
      <c r="AB37" s="55"/>
      <c r="AC37" s="53"/>
      <c r="AD37" s="53"/>
      <c r="AE37" s="53"/>
      <c r="AF37" s="54">
        <f>+AFIRMACIONES!B262</f>
        <v>0</v>
      </c>
      <c r="AG37" s="53"/>
      <c r="AH37" s="53"/>
    </row>
    <row r="38" spans="2:34" ht="12.75" hidden="1" customHeight="1" x14ac:dyDescent="0.25">
      <c r="B38" s="50">
        <v>36</v>
      </c>
      <c r="C38" s="51">
        <v>7</v>
      </c>
      <c r="D38" s="53"/>
      <c r="E38" s="53"/>
      <c r="F38" s="52"/>
      <c r="G38" s="53"/>
      <c r="H38" s="53"/>
      <c r="I38" s="53"/>
      <c r="J38" s="54">
        <f>+AFIRMACIONES!B65</f>
        <v>0</v>
      </c>
      <c r="K38" s="53"/>
      <c r="L38" s="53"/>
      <c r="M38" s="50">
        <v>135</v>
      </c>
      <c r="N38" s="51">
        <v>9</v>
      </c>
      <c r="O38" s="53"/>
      <c r="P38" s="53"/>
      <c r="Q38" s="53"/>
      <c r="R38" s="53"/>
      <c r="S38" s="52"/>
      <c r="T38" s="53"/>
      <c r="U38" s="53"/>
      <c r="V38" s="53"/>
      <c r="W38" s="54">
        <f>+AFIRMACIONES!B164</f>
        <v>0</v>
      </c>
      <c r="X38" s="50">
        <v>234</v>
      </c>
      <c r="Y38" s="51">
        <v>3</v>
      </c>
      <c r="Z38" s="53"/>
      <c r="AA38" s="53"/>
      <c r="AB38" s="54">
        <f>+AFIRMACIONES!B263</f>
        <v>0</v>
      </c>
      <c r="AC38" s="53"/>
      <c r="AD38" s="53"/>
      <c r="AE38" s="53"/>
      <c r="AF38" s="55"/>
      <c r="AG38" s="53"/>
      <c r="AH38" s="53"/>
    </row>
    <row r="39" spans="2:34" ht="12.75" hidden="1" customHeight="1" x14ac:dyDescent="0.25">
      <c r="B39" s="50">
        <v>37</v>
      </c>
      <c r="C39" s="51">
        <v>4</v>
      </c>
      <c r="D39" s="53"/>
      <c r="E39" s="53"/>
      <c r="F39" s="53"/>
      <c r="G39" s="54">
        <f>+AFIRMACIONES!B66</f>
        <v>0</v>
      </c>
      <c r="H39" s="53"/>
      <c r="I39" s="53"/>
      <c r="J39" s="52"/>
      <c r="K39" s="53"/>
      <c r="L39" s="53"/>
      <c r="M39" s="50">
        <v>136</v>
      </c>
      <c r="N39" s="51">
        <v>9</v>
      </c>
      <c r="O39" s="53"/>
      <c r="P39" s="53"/>
      <c r="Q39" s="53"/>
      <c r="R39" s="52"/>
      <c r="S39" s="52"/>
      <c r="T39" s="53"/>
      <c r="U39" s="53"/>
      <c r="V39" s="53"/>
      <c r="W39" s="54">
        <f>+AFIRMACIONES!B165</f>
        <v>0</v>
      </c>
      <c r="X39" s="50">
        <v>235</v>
      </c>
      <c r="Y39" s="51">
        <v>8</v>
      </c>
      <c r="Z39" s="52"/>
      <c r="AA39" s="53"/>
      <c r="AB39" s="55"/>
      <c r="AC39" s="53"/>
      <c r="AD39" s="53"/>
      <c r="AE39" s="53"/>
      <c r="AF39" s="55"/>
      <c r="AG39" s="54">
        <f>+AFIRMACIONES!B264</f>
        <v>0</v>
      </c>
      <c r="AH39" s="53"/>
    </row>
    <row r="40" spans="2:34" ht="12.75" hidden="1" customHeight="1" x14ac:dyDescent="0.25">
      <c r="B40" s="50">
        <v>38</v>
      </c>
      <c r="C40" s="51">
        <v>5</v>
      </c>
      <c r="D40" s="53"/>
      <c r="E40" s="53"/>
      <c r="F40" s="53"/>
      <c r="G40" s="53"/>
      <c r="H40" s="54">
        <f>+AFIRMACIONES!B67</f>
        <v>0</v>
      </c>
      <c r="I40" s="52"/>
      <c r="J40" s="53"/>
      <c r="K40" s="53"/>
      <c r="L40" s="53"/>
      <c r="M40" s="50">
        <v>137</v>
      </c>
      <c r="N40" s="51">
        <v>6</v>
      </c>
      <c r="O40" s="53"/>
      <c r="P40" s="53"/>
      <c r="Q40" s="52"/>
      <c r="R40" s="53"/>
      <c r="S40" s="53"/>
      <c r="T40" s="54">
        <f>+AFIRMACIONES!B166</f>
        <v>0</v>
      </c>
      <c r="U40" s="53"/>
      <c r="V40" s="53"/>
      <c r="W40" s="52"/>
      <c r="X40" s="50">
        <v>236</v>
      </c>
      <c r="Y40" s="51">
        <v>9</v>
      </c>
      <c r="Z40" s="53"/>
      <c r="AA40" s="53"/>
      <c r="AB40" s="55"/>
      <c r="AC40" s="53"/>
      <c r="AD40" s="53"/>
      <c r="AE40" s="53"/>
      <c r="AF40" s="55"/>
      <c r="AG40" s="53"/>
      <c r="AH40" s="54">
        <f>+AFIRMACIONES!B265</f>
        <v>0</v>
      </c>
    </row>
    <row r="41" spans="2:34" ht="12.75" hidden="1" customHeight="1" x14ac:dyDescent="0.25">
      <c r="B41" s="50">
        <v>39</v>
      </c>
      <c r="C41" s="51">
        <v>1</v>
      </c>
      <c r="D41" s="54">
        <f>+AFIRMACIONES!B68</f>
        <v>0</v>
      </c>
      <c r="E41" s="53"/>
      <c r="F41" s="53"/>
      <c r="G41" s="53"/>
      <c r="H41" s="53"/>
      <c r="I41" s="52"/>
      <c r="J41" s="53"/>
      <c r="K41" s="53"/>
      <c r="L41" s="53"/>
      <c r="M41" s="50">
        <v>138</v>
      </c>
      <c r="N41" s="51">
        <v>7</v>
      </c>
      <c r="O41" s="53"/>
      <c r="P41" s="53"/>
      <c r="Q41" s="53"/>
      <c r="R41" s="53"/>
      <c r="S41" s="53"/>
      <c r="T41" s="53"/>
      <c r="U41" s="54">
        <f>+AFIRMACIONES!B167</f>
        <v>0</v>
      </c>
      <c r="V41" s="53"/>
      <c r="W41" s="52"/>
      <c r="X41" s="50">
        <v>237</v>
      </c>
      <c r="Y41" s="51">
        <v>4</v>
      </c>
      <c r="Z41" s="53"/>
      <c r="AA41" s="53"/>
      <c r="AB41" s="55"/>
      <c r="AC41" s="54">
        <f>+AFIRMACIONES!B266</f>
        <v>0</v>
      </c>
      <c r="AD41" s="52"/>
      <c r="AE41" s="53"/>
      <c r="AF41" s="55"/>
      <c r="AG41" s="53"/>
      <c r="AH41" s="53"/>
    </row>
    <row r="42" spans="2:34" ht="12.75" hidden="1" customHeight="1" x14ac:dyDescent="0.25">
      <c r="B42" s="50">
        <v>40</v>
      </c>
      <c r="C42" s="51">
        <v>2</v>
      </c>
      <c r="D42" s="52"/>
      <c r="E42" s="54">
        <f>+AFIRMACIONES!B69</f>
        <v>0</v>
      </c>
      <c r="F42" s="52"/>
      <c r="G42" s="53"/>
      <c r="H42" s="53"/>
      <c r="I42" s="53"/>
      <c r="J42" s="53"/>
      <c r="K42" s="53"/>
      <c r="L42" s="53"/>
      <c r="M42" s="50">
        <v>139</v>
      </c>
      <c r="N42" s="51">
        <v>5</v>
      </c>
      <c r="O42" s="53"/>
      <c r="P42" s="53"/>
      <c r="Q42" s="53"/>
      <c r="R42" s="53"/>
      <c r="S42" s="54">
        <f>+AFIRMACIONES!B168</f>
        <v>0</v>
      </c>
      <c r="T42" s="53"/>
      <c r="U42" s="52"/>
      <c r="V42" s="53"/>
      <c r="W42" s="52"/>
      <c r="X42" s="50">
        <v>238</v>
      </c>
      <c r="Y42" s="51">
        <v>5</v>
      </c>
      <c r="Z42" s="53"/>
      <c r="AA42" s="53"/>
      <c r="AB42" s="55"/>
      <c r="AC42" s="53"/>
      <c r="AD42" s="54">
        <f>+AFIRMACIONES!B267</f>
        <v>0</v>
      </c>
      <c r="AE42" s="53"/>
      <c r="AF42" s="55"/>
      <c r="AG42" s="53"/>
      <c r="AH42" s="53"/>
    </row>
    <row r="43" spans="2:34" ht="12.75" hidden="1" customHeight="1" x14ac:dyDescent="0.25">
      <c r="B43" s="50">
        <v>41</v>
      </c>
      <c r="C43" s="51">
        <v>8</v>
      </c>
      <c r="D43" s="53"/>
      <c r="E43" s="53"/>
      <c r="F43" s="53"/>
      <c r="G43" s="53"/>
      <c r="H43" s="53"/>
      <c r="I43" s="53"/>
      <c r="J43" s="53"/>
      <c r="K43" s="54">
        <f>+AFIRMACIONES!B70</f>
        <v>0</v>
      </c>
      <c r="L43" s="53"/>
      <c r="M43" s="50">
        <v>140</v>
      </c>
      <c r="N43" s="51">
        <v>4</v>
      </c>
      <c r="O43" s="53"/>
      <c r="P43" s="53"/>
      <c r="Q43" s="52"/>
      <c r="R43" s="54">
        <f>+AFIRMACIONES!B169</f>
        <v>0</v>
      </c>
      <c r="S43" s="52"/>
      <c r="T43" s="53"/>
      <c r="U43" s="53"/>
      <c r="V43" s="53"/>
      <c r="W43" s="52"/>
      <c r="X43" s="50">
        <v>239</v>
      </c>
      <c r="Y43" s="51">
        <v>6</v>
      </c>
      <c r="Z43" s="53"/>
      <c r="AA43" s="53"/>
      <c r="AB43" s="55"/>
      <c r="AC43" s="52"/>
      <c r="AD43" s="53"/>
      <c r="AE43" s="54">
        <f>+AFIRMACIONES!B268</f>
        <v>0</v>
      </c>
      <c r="AF43" s="55"/>
      <c r="AG43" s="53"/>
      <c r="AH43" s="53"/>
    </row>
    <row r="44" spans="2:34" ht="12.75" hidden="1" customHeight="1" x14ac:dyDescent="0.25">
      <c r="B44" s="50">
        <v>42</v>
      </c>
      <c r="C44" s="51">
        <v>7</v>
      </c>
      <c r="D44" s="53"/>
      <c r="E44" s="52"/>
      <c r="F44" s="53"/>
      <c r="G44" s="53"/>
      <c r="H44" s="53"/>
      <c r="I44" s="53"/>
      <c r="J44" s="54">
        <f>+AFIRMACIONES!B71</f>
        <v>0</v>
      </c>
      <c r="K44" s="53"/>
      <c r="L44" s="53"/>
      <c r="M44" s="50">
        <v>141</v>
      </c>
      <c r="N44" s="51">
        <v>3</v>
      </c>
      <c r="O44" s="53"/>
      <c r="P44" s="53"/>
      <c r="Q44" s="54">
        <f>+AFIRMACIONES!B170</f>
        <v>0</v>
      </c>
      <c r="R44" s="53"/>
      <c r="S44" s="53"/>
      <c r="T44" s="53"/>
      <c r="U44" s="53"/>
      <c r="V44" s="53"/>
      <c r="W44" s="52"/>
      <c r="X44" s="50">
        <v>240</v>
      </c>
      <c r="Y44" s="51">
        <v>1</v>
      </c>
      <c r="Z44" s="54">
        <f>+AFIRMACIONES!B269</f>
        <v>0</v>
      </c>
      <c r="AA44" s="53"/>
      <c r="AB44" s="55"/>
      <c r="AC44" s="53"/>
      <c r="AD44" s="53"/>
      <c r="AE44" s="53"/>
      <c r="AF44" s="55"/>
      <c r="AG44" s="53"/>
      <c r="AH44" s="53"/>
    </row>
    <row r="45" spans="2:34" ht="12.75" hidden="1" customHeight="1" x14ac:dyDescent="0.25">
      <c r="B45" s="50">
        <v>43</v>
      </c>
      <c r="C45" s="51">
        <v>9</v>
      </c>
      <c r="D45" s="53"/>
      <c r="E45" s="52"/>
      <c r="F45" s="53"/>
      <c r="G45" s="53"/>
      <c r="H45" s="53"/>
      <c r="I45" s="53"/>
      <c r="J45" s="53"/>
      <c r="K45" s="53"/>
      <c r="L45" s="54">
        <f>+AFIRMACIONES!B72</f>
        <v>0</v>
      </c>
      <c r="M45" s="50">
        <v>142</v>
      </c>
      <c r="N45" s="51">
        <v>2</v>
      </c>
      <c r="O45" s="53"/>
      <c r="P45" s="54">
        <f>+AFIRMACIONES!B171</f>
        <v>0</v>
      </c>
      <c r="Q45" s="53"/>
      <c r="R45" s="53"/>
      <c r="S45" s="53"/>
      <c r="T45" s="53"/>
      <c r="U45" s="53"/>
      <c r="V45" s="53"/>
      <c r="W45" s="52"/>
      <c r="X45" s="50">
        <v>241</v>
      </c>
      <c r="Y45" s="51">
        <v>7</v>
      </c>
      <c r="Z45" s="53"/>
      <c r="AA45" s="53"/>
      <c r="AB45" s="55"/>
      <c r="AC45" s="53"/>
      <c r="AD45" s="53"/>
      <c r="AE45" s="52"/>
      <c r="AF45" s="54">
        <f>+AFIRMACIONES!B270</f>
        <v>0</v>
      </c>
      <c r="AG45" s="53"/>
      <c r="AH45" s="53"/>
    </row>
    <row r="46" spans="2:34" ht="12.75" hidden="1" customHeight="1" x14ac:dyDescent="0.25">
      <c r="B46" s="50">
        <v>44</v>
      </c>
      <c r="C46" s="51">
        <v>3</v>
      </c>
      <c r="D46" s="53"/>
      <c r="E46" s="53"/>
      <c r="F46" s="54">
        <f>+AFIRMACIONES!B73</f>
        <v>0</v>
      </c>
      <c r="G46" s="53"/>
      <c r="H46" s="52"/>
      <c r="I46" s="53"/>
      <c r="J46" s="53"/>
      <c r="K46" s="53"/>
      <c r="L46" s="53"/>
      <c r="M46" s="50">
        <v>143</v>
      </c>
      <c r="N46" s="51">
        <v>8</v>
      </c>
      <c r="O46" s="53"/>
      <c r="P46" s="53"/>
      <c r="Q46" s="53"/>
      <c r="R46" s="53"/>
      <c r="S46" s="53"/>
      <c r="T46" s="53"/>
      <c r="U46" s="53"/>
      <c r="V46" s="54">
        <f>+AFIRMACIONES!B172</f>
        <v>0</v>
      </c>
      <c r="W46" s="52"/>
      <c r="X46" s="50">
        <v>242</v>
      </c>
      <c r="Y46" s="51">
        <v>2</v>
      </c>
      <c r="Z46" s="53"/>
      <c r="AA46" s="54">
        <f>+AFIRMACIONES!B271</f>
        <v>0</v>
      </c>
      <c r="AB46" s="55"/>
      <c r="AC46" s="53"/>
      <c r="AD46" s="53"/>
      <c r="AE46" s="52"/>
      <c r="AF46" s="55"/>
      <c r="AG46" s="53"/>
      <c r="AH46" s="53"/>
    </row>
    <row r="47" spans="2:34" ht="12.75" hidden="1" customHeight="1" x14ac:dyDescent="0.25">
      <c r="B47" s="50">
        <v>45</v>
      </c>
      <c r="C47" s="51">
        <v>6</v>
      </c>
      <c r="D47" s="53"/>
      <c r="E47" s="53"/>
      <c r="F47" s="53"/>
      <c r="G47" s="53"/>
      <c r="H47" s="53"/>
      <c r="I47" s="54">
        <f>+AFIRMACIONES!B74</f>
        <v>0</v>
      </c>
      <c r="J47" s="53"/>
      <c r="K47" s="52"/>
      <c r="L47" s="53"/>
      <c r="M47" s="50">
        <v>144</v>
      </c>
      <c r="N47" s="51">
        <v>1</v>
      </c>
      <c r="O47" s="54">
        <f>+AFIRMACIONES!B173</f>
        <v>0</v>
      </c>
      <c r="P47" s="53"/>
      <c r="Q47" s="53"/>
      <c r="R47" s="52"/>
      <c r="S47" s="53"/>
      <c r="T47" s="53"/>
      <c r="U47" s="53"/>
      <c r="V47" s="53"/>
      <c r="W47" s="52"/>
      <c r="X47" s="50">
        <v>243</v>
      </c>
      <c r="Y47" s="51">
        <v>3</v>
      </c>
      <c r="Z47" s="53"/>
      <c r="AA47" s="53"/>
      <c r="AB47" s="54">
        <f>+AFIRMACIONES!B272</f>
        <v>0</v>
      </c>
      <c r="AC47" s="52"/>
      <c r="AD47" s="53"/>
      <c r="AE47" s="53"/>
      <c r="AF47" s="55"/>
      <c r="AG47" s="53"/>
      <c r="AH47" s="53"/>
    </row>
    <row r="48" spans="2:34" ht="12.75" hidden="1" customHeight="1" x14ac:dyDescent="0.25">
      <c r="B48" s="50">
        <v>46</v>
      </c>
      <c r="C48" s="51">
        <v>2</v>
      </c>
      <c r="D48" s="52"/>
      <c r="E48" s="54">
        <f>+AFIRMACIONES!B75</f>
        <v>0</v>
      </c>
      <c r="F48" s="53"/>
      <c r="G48" s="53"/>
      <c r="H48" s="53"/>
      <c r="I48" s="53"/>
      <c r="J48" s="53"/>
      <c r="K48" s="53"/>
      <c r="L48" s="53"/>
      <c r="M48" s="50">
        <v>145</v>
      </c>
      <c r="N48" s="51">
        <v>6</v>
      </c>
      <c r="O48" s="52"/>
      <c r="P48" s="53"/>
      <c r="Q48" s="53"/>
      <c r="R48" s="53"/>
      <c r="S48" s="53"/>
      <c r="T48" s="54">
        <f>+AFIRMACIONES!B174</f>
        <v>0</v>
      </c>
      <c r="U48" s="53"/>
      <c r="V48" s="53"/>
      <c r="W48" s="52"/>
      <c r="X48" s="50">
        <v>244</v>
      </c>
      <c r="Y48" s="51">
        <v>3</v>
      </c>
      <c r="Z48" s="53"/>
      <c r="AA48" s="53"/>
      <c r="AB48" s="54">
        <f>+AFIRMACIONES!B273</f>
        <v>0</v>
      </c>
      <c r="AC48" s="53"/>
      <c r="AD48" s="53"/>
      <c r="AE48" s="53"/>
      <c r="AF48" s="55"/>
      <c r="AG48" s="53"/>
      <c r="AH48" s="53"/>
    </row>
    <row r="49" spans="2:35" ht="12.75" hidden="1" customHeight="1" x14ac:dyDescent="0.25">
      <c r="B49" s="50">
        <v>47</v>
      </c>
      <c r="C49" s="51">
        <v>5</v>
      </c>
      <c r="D49" s="53"/>
      <c r="E49" s="53"/>
      <c r="F49" s="53"/>
      <c r="G49" s="53"/>
      <c r="H49" s="54">
        <f>+AFIRMACIONES!B76</f>
        <v>0</v>
      </c>
      <c r="I49" s="53"/>
      <c r="J49" s="53"/>
      <c r="K49" s="53"/>
      <c r="L49" s="52"/>
      <c r="M49" s="50">
        <v>146</v>
      </c>
      <c r="N49" s="51">
        <v>4</v>
      </c>
      <c r="O49" s="53"/>
      <c r="P49" s="53"/>
      <c r="Q49" s="52"/>
      <c r="R49" s="54">
        <f>+AFIRMACIONES!B175</f>
        <v>0</v>
      </c>
      <c r="S49" s="53"/>
      <c r="T49" s="53"/>
      <c r="U49" s="53"/>
      <c r="V49" s="53"/>
      <c r="W49" s="52"/>
      <c r="X49" s="50">
        <v>245</v>
      </c>
      <c r="Y49" s="51">
        <v>1</v>
      </c>
      <c r="Z49" s="54">
        <f>+AFIRMACIONES!B274</f>
        <v>0</v>
      </c>
      <c r="AA49" s="53"/>
      <c r="AB49" s="55"/>
      <c r="AC49" s="53"/>
      <c r="AD49" s="53"/>
      <c r="AE49" s="53"/>
      <c r="AF49" s="55"/>
      <c r="AG49" s="53"/>
      <c r="AH49" s="53"/>
    </row>
    <row r="50" spans="2:35" ht="12.75" hidden="1" customHeight="1" x14ac:dyDescent="0.25">
      <c r="B50" s="50">
        <v>48</v>
      </c>
      <c r="C50" s="51">
        <v>9</v>
      </c>
      <c r="D50" s="53"/>
      <c r="E50" s="53"/>
      <c r="F50" s="53"/>
      <c r="G50" s="53"/>
      <c r="H50" s="53"/>
      <c r="I50" s="53"/>
      <c r="J50" s="53"/>
      <c r="K50" s="52"/>
      <c r="L50" s="54">
        <f>+AFIRMACIONES!B77</f>
        <v>0</v>
      </c>
      <c r="M50" s="50">
        <v>147</v>
      </c>
      <c r="N50" s="51">
        <v>9</v>
      </c>
      <c r="O50" s="53"/>
      <c r="P50" s="53"/>
      <c r="Q50" s="53"/>
      <c r="R50" s="53"/>
      <c r="S50" s="52"/>
      <c r="T50" s="53"/>
      <c r="U50" s="53"/>
      <c r="V50" s="53"/>
      <c r="W50" s="54">
        <f>+AFIRMACIONES!B176</f>
        <v>0</v>
      </c>
      <c r="X50" s="50">
        <v>246</v>
      </c>
      <c r="Y50" s="51">
        <v>8</v>
      </c>
      <c r="Z50" s="53"/>
      <c r="AA50" s="53"/>
      <c r="AB50" s="55"/>
      <c r="AC50" s="53"/>
      <c r="AD50" s="53"/>
      <c r="AE50" s="53"/>
      <c r="AF50" s="55"/>
      <c r="AG50" s="54">
        <f>+AFIRMACIONES!B275</f>
        <v>0</v>
      </c>
      <c r="AH50" s="53"/>
    </row>
    <row r="51" spans="2:35" ht="12.75" hidden="1" customHeight="1" x14ac:dyDescent="0.25">
      <c r="B51" s="50">
        <v>49</v>
      </c>
      <c r="C51" s="51">
        <v>8</v>
      </c>
      <c r="D51" s="53"/>
      <c r="E51" s="53"/>
      <c r="F51" s="53"/>
      <c r="G51" s="53"/>
      <c r="H51" s="53"/>
      <c r="I51" s="53"/>
      <c r="J51" s="53"/>
      <c r="K51" s="54">
        <f>+AFIRMACIONES!B78</f>
        <v>0</v>
      </c>
      <c r="L51" s="52"/>
      <c r="M51" s="50">
        <v>148</v>
      </c>
      <c r="N51" s="51">
        <v>7</v>
      </c>
      <c r="O51" s="53"/>
      <c r="P51" s="53"/>
      <c r="Q51" s="53"/>
      <c r="R51" s="53"/>
      <c r="S51" s="53"/>
      <c r="T51" s="53"/>
      <c r="U51" s="54">
        <f>+AFIRMACIONES!B177</f>
        <v>0</v>
      </c>
      <c r="V51" s="53"/>
      <c r="W51" s="52"/>
      <c r="X51" s="50">
        <v>247</v>
      </c>
      <c r="Y51" s="51">
        <v>5</v>
      </c>
      <c r="Z51" s="53"/>
      <c r="AA51" s="53"/>
      <c r="AB51" s="55"/>
      <c r="AC51" s="53"/>
      <c r="AD51" s="54">
        <f>+AFIRMACIONES!B276</f>
        <v>0</v>
      </c>
      <c r="AE51" s="53"/>
      <c r="AF51" s="55"/>
      <c r="AG51" s="53"/>
      <c r="AH51" s="53"/>
    </row>
    <row r="52" spans="2:35" ht="12.75" hidden="1" customHeight="1" x14ac:dyDescent="0.25">
      <c r="B52" s="50">
        <v>50</v>
      </c>
      <c r="C52" s="51">
        <v>3</v>
      </c>
      <c r="D52" s="53"/>
      <c r="E52" s="53"/>
      <c r="F52" s="54">
        <f>+AFIRMACIONES!B79</f>
        <v>0</v>
      </c>
      <c r="G52" s="53"/>
      <c r="H52" s="53"/>
      <c r="I52" s="53"/>
      <c r="J52" s="53"/>
      <c r="K52" s="53"/>
      <c r="L52" s="53"/>
      <c r="M52" s="50">
        <v>149</v>
      </c>
      <c r="N52" s="51">
        <v>2</v>
      </c>
      <c r="O52" s="53"/>
      <c r="P52" s="54">
        <f>+AFIRMACIONES!B178</f>
        <v>0</v>
      </c>
      <c r="Q52" s="52"/>
      <c r="R52" s="53"/>
      <c r="S52" s="53"/>
      <c r="T52" s="53"/>
      <c r="U52" s="53"/>
      <c r="V52" s="53"/>
      <c r="W52" s="52"/>
      <c r="X52" s="50">
        <v>248</v>
      </c>
      <c r="Y52" s="51">
        <v>9</v>
      </c>
      <c r="Z52" s="53"/>
      <c r="AA52" s="53"/>
      <c r="AB52" s="55"/>
      <c r="AC52" s="53"/>
      <c r="AD52" s="53"/>
      <c r="AE52" s="53"/>
      <c r="AF52" s="55"/>
      <c r="AG52" s="53"/>
      <c r="AH52" s="54">
        <f>+AFIRMACIONES!B277</f>
        <v>0</v>
      </c>
    </row>
    <row r="53" spans="2:35" ht="12.75" hidden="1" customHeight="1" x14ac:dyDescent="0.25">
      <c r="B53" s="50">
        <v>51</v>
      </c>
      <c r="C53" s="51">
        <v>4</v>
      </c>
      <c r="D53" s="53"/>
      <c r="E53" s="53"/>
      <c r="F53" s="53"/>
      <c r="G53" s="54">
        <f>+AFIRMACIONES!B80</f>
        <v>0</v>
      </c>
      <c r="H53" s="53"/>
      <c r="I53" s="53"/>
      <c r="J53" s="52"/>
      <c r="K53" s="53"/>
      <c r="L53" s="53"/>
      <c r="M53" s="50">
        <v>150</v>
      </c>
      <c r="N53" s="51">
        <v>5</v>
      </c>
      <c r="O53" s="53"/>
      <c r="P53" s="53"/>
      <c r="Q53" s="52"/>
      <c r="R53" s="53"/>
      <c r="S53" s="54">
        <f>+AFIRMACIONES!B179</f>
        <v>0</v>
      </c>
      <c r="T53" s="53"/>
      <c r="U53" s="52"/>
      <c r="V53" s="53"/>
      <c r="W53" s="52"/>
      <c r="X53" s="50">
        <v>249</v>
      </c>
      <c r="Y53" s="51">
        <v>6</v>
      </c>
      <c r="Z53" s="53"/>
      <c r="AA53" s="53"/>
      <c r="AB53" s="55"/>
      <c r="AC53" s="53"/>
      <c r="AD53" s="53"/>
      <c r="AE53" s="54">
        <f>+AFIRMACIONES!B278</f>
        <v>0</v>
      </c>
      <c r="AF53" s="55"/>
      <c r="AG53" s="53"/>
      <c r="AH53" s="53"/>
    </row>
    <row r="54" spans="2:35" ht="12.75" hidden="1" customHeight="1" x14ac:dyDescent="0.25">
      <c r="B54" s="50">
        <v>52</v>
      </c>
      <c r="C54" s="51">
        <v>7</v>
      </c>
      <c r="D54" s="52"/>
      <c r="E54" s="53"/>
      <c r="F54" s="53"/>
      <c r="G54" s="53"/>
      <c r="H54" s="53"/>
      <c r="I54" s="53"/>
      <c r="J54" s="54">
        <f>+AFIRMACIONES!B81</f>
        <v>0</v>
      </c>
      <c r="K54" s="53"/>
      <c r="L54" s="53"/>
      <c r="M54" s="50">
        <v>151</v>
      </c>
      <c r="N54" s="51">
        <v>3</v>
      </c>
      <c r="O54" s="53"/>
      <c r="P54" s="52"/>
      <c r="Q54" s="54">
        <f>+AFIRMACIONES!B180</f>
        <v>0</v>
      </c>
      <c r="R54" s="53"/>
      <c r="S54" s="53"/>
      <c r="T54" s="53"/>
      <c r="U54" s="53"/>
      <c r="V54" s="53"/>
      <c r="W54" s="52"/>
      <c r="X54" s="50">
        <v>250</v>
      </c>
      <c r="Y54" s="51">
        <v>4</v>
      </c>
      <c r="Z54" s="52"/>
      <c r="AA54" s="53"/>
      <c r="AB54" s="55"/>
      <c r="AC54" s="54">
        <f>+AFIRMACIONES!B279</f>
        <v>0</v>
      </c>
      <c r="AD54" s="53"/>
      <c r="AE54" s="53"/>
      <c r="AF54" s="55"/>
      <c r="AG54" s="53"/>
      <c r="AH54" s="53"/>
    </row>
    <row r="55" spans="2:35" ht="12.75" hidden="1" customHeight="1" x14ac:dyDescent="0.25">
      <c r="B55" s="50">
        <v>53</v>
      </c>
      <c r="C55" s="51">
        <v>1</v>
      </c>
      <c r="D55" s="54">
        <f>+AFIRMACIONES!B82</f>
        <v>0</v>
      </c>
      <c r="E55" s="53"/>
      <c r="F55" s="53"/>
      <c r="G55" s="52"/>
      <c r="H55" s="53"/>
      <c r="I55" s="53"/>
      <c r="J55" s="53"/>
      <c r="K55" s="53"/>
      <c r="L55" s="53"/>
      <c r="M55" s="50">
        <v>152</v>
      </c>
      <c r="N55" s="51">
        <v>1</v>
      </c>
      <c r="O55" s="54">
        <f>+AFIRMACIONES!B181</f>
        <v>0</v>
      </c>
      <c r="P55" s="53"/>
      <c r="Q55" s="53"/>
      <c r="R55" s="52"/>
      <c r="S55" s="52"/>
      <c r="T55" s="53"/>
      <c r="U55" s="53"/>
      <c r="V55" s="53"/>
      <c r="W55" s="52"/>
      <c r="X55" s="50">
        <v>251</v>
      </c>
      <c r="Y55" s="51">
        <v>7</v>
      </c>
      <c r="Z55" s="53"/>
      <c r="AA55" s="53"/>
      <c r="AB55" s="55"/>
      <c r="AC55" s="52"/>
      <c r="AD55" s="53"/>
      <c r="AE55" s="52"/>
      <c r="AF55" s="54">
        <f>+AFIRMACIONES!B280</f>
        <v>0</v>
      </c>
      <c r="AG55" s="53"/>
      <c r="AH55" s="53"/>
    </row>
    <row r="56" spans="2:35" ht="12.75" hidden="1" customHeight="1" x14ac:dyDescent="0.25">
      <c r="B56" s="50">
        <v>54</v>
      </c>
      <c r="C56" s="51">
        <v>6</v>
      </c>
      <c r="D56" s="53"/>
      <c r="E56" s="53"/>
      <c r="F56" s="53"/>
      <c r="G56" s="53"/>
      <c r="H56" s="53"/>
      <c r="I56" s="54">
        <f>+AFIRMACIONES!B83</f>
        <v>0</v>
      </c>
      <c r="J56" s="53"/>
      <c r="K56" s="53"/>
      <c r="L56" s="53"/>
      <c r="M56" s="50">
        <v>153</v>
      </c>
      <c r="N56" s="51">
        <v>8</v>
      </c>
      <c r="O56" s="53"/>
      <c r="P56" s="53"/>
      <c r="Q56" s="53"/>
      <c r="R56" s="53"/>
      <c r="S56" s="53"/>
      <c r="T56" s="53"/>
      <c r="U56" s="53"/>
      <c r="V56" s="54">
        <f>+AFIRMACIONES!B182</f>
        <v>0</v>
      </c>
      <c r="W56" s="52"/>
      <c r="X56" s="50">
        <v>252</v>
      </c>
      <c r="Y56" s="51">
        <v>2</v>
      </c>
      <c r="Z56" s="53"/>
      <c r="AA56" s="54">
        <f>+AFIRMACIONES!B281</f>
        <v>0</v>
      </c>
      <c r="AB56" s="56"/>
      <c r="AC56" s="53"/>
      <c r="AD56" s="53"/>
      <c r="AE56" s="53"/>
      <c r="AF56" s="55"/>
      <c r="AG56" s="53"/>
      <c r="AH56" s="53"/>
    </row>
    <row r="57" spans="2:35" ht="12.75" hidden="1" customHeight="1" x14ac:dyDescent="0.25">
      <c r="B57" s="50">
        <v>55</v>
      </c>
      <c r="C57" s="51">
        <v>2</v>
      </c>
      <c r="D57" s="52"/>
      <c r="E57" s="54">
        <f>+AFIRMACIONES!B84</f>
        <v>0</v>
      </c>
      <c r="F57" s="53"/>
      <c r="G57" s="53"/>
      <c r="H57" s="52"/>
      <c r="I57" s="53"/>
      <c r="J57" s="53"/>
      <c r="K57" s="53"/>
      <c r="L57" s="53"/>
      <c r="M57" s="50">
        <v>154</v>
      </c>
      <c r="N57" s="51">
        <v>3</v>
      </c>
      <c r="O57" s="52"/>
      <c r="P57" s="53"/>
      <c r="Q57" s="54">
        <f>+AFIRMACIONES!B183</f>
        <v>0</v>
      </c>
      <c r="R57" s="53"/>
      <c r="S57" s="53"/>
      <c r="T57" s="53"/>
      <c r="U57" s="53"/>
      <c r="V57" s="53"/>
      <c r="W57" s="52"/>
      <c r="X57" s="50">
        <v>253</v>
      </c>
      <c r="Y57" s="51">
        <v>8</v>
      </c>
      <c r="Z57" s="53"/>
      <c r="AA57" s="53"/>
      <c r="AB57" s="55"/>
      <c r="AC57" s="53"/>
      <c r="AD57" s="53"/>
      <c r="AE57" s="52"/>
      <c r="AF57" s="55"/>
      <c r="AG57" s="54">
        <f>+AFIRMACIONES!B282</f>
        <v>0</v>
      </c>
      <c r="AH57" s="53"/>
    </row>
    <row r="58" spans="2:35" ht="12.75" hidden="1" customHeight="1" x14ac:dyDescent="0.25">
      <c r="B58" s="50">
        <v>56</v>
      </c>
      <c r="C58" s="51">
        <v>7</v>
      </c>
      <c r="D58" s="53"/>
      <c r="E58" s="53"/>
      <c r="F58" s="53"/>
      <c r="G58" s="53"/>
      <c r="H58" s="53"/>
      <c r="I58" s="53"/>
      <c r="J58" s="54">
        <f>+AFIRMACIONES!B85</f>
        <v>0</v>
      </c>
      <c r="K58" s="53"/>
      <c r="L58" s="52"/>
      <c r="M58" s="50">
        <v>155</v>
      </c>
      <c r="N58" s="51">
        <v>6</v>
      </c>
      <c r="O58" s="53"/>
      <c r="P58" s="53"/>
      <c r="Q58" s="53"/>
      <c r="R58" s="53"/>
      <c r="S58" s="53"/>
      <c r="T58" s="54">
        <f>+AFIRMACIONES!B184</f>
        <v>0</v>
      </c>
      <c r="U58" s="53"/>
      <c r="V58" s="52"/>
      <c r="W58" s="52"/>
      <c r="X58" s="50">
        <v>254</v>
      </c>
      <c r="Y58" s="51">
        <v>5</v>
      </c>
      <c r="Z58" s="53"/>
      <c r="AA58" s="53"/>
      <c r="AB58" s="55"/>
      <c r="AC58" s="53"/>
      <c r="AD58" s="54">
        <f>+AFIRMACIONES!B283</f>
        <v>0</v>
      </c>
      <c r="AE58" s="53"/>
      <c r="AF58" s="55"/>
      <c r="AG58" s="53"/>
      <c r="AH58" s="53"/>
    </row>
    <row r="59" spans="2:35" ht="12.75" hidden="1" customHeight="1" x14ac:dyDescent="0.25">
      <c r="B59" s="50">
        <v>57</v>
      </c>
      <c r="C59" s="51">
        <v>3</v>
      </c>
      <c r="D59" s="53"/>
      <c r="E59" s="53"/>
      <c r="F59" s="54">
        <f>+AFIRMACIONES!B86</f>
        <v>0</v>
      </c>
      <c r="G59" s="53"/>
      <c r="H59" s="53"/>
      <c r="I59" s="53"/>
      <c r="J59" s="53"/>
      <c r="K59" s="53"/>
      <c r="L59" s="53"/>
      <c r="M59" s="50">
        <v>156</v>
      </c>
      <c r="N59" s="51">
        <v>2</v>
      </c>
      <c r="O59" s="53"/>
      <c r="P59" s="54">
        <f>+AFIRMACIONES!B185</f>
        <v>0</v>
      </c>
      <c r="Q59" s="53"/>
      <c r="R59" s="53"/>
      <c r="S59" s="53"/>
      <c r="T59" s="53"/>
      <c r="U59" s="53"/>
      <c r="V59" s="53"/>
      <c r="W59" s="52"/>
      <c r="X59" s="50">
        <v>255</v>
      </c>
      <c r="Y59" s="51">
        <v>1</v>
      </c>
      <c r="Z59" s="54">
        <f>+AFIRMACIONES!B284</f>
        <v>0</v>
      </c>
      <c r="AA59" s="53"/>
      <c r="AB59" s="55"/>
      <c r="AC59" s="53"/>
      <c r="AD59" s="53"/>
      <c r="AE59" s="53"/>
      <c r="AF59" s="55"/>
      <c r="AG59" s="53"/>
      <c r="AH59" s="53"/>
    </row>
    <row r="60" spans="2:35" ht="12.75" hidden="1" customHeight="1" x14ac:dyDescent="0.25">
      <c r="B60" s="50">
        <v>58</v>
      </c>
      <c r="C60" s="51">
        <v>5</v>
      </c>
      <c r="D60" s="53"/>
      <c r="E60" s="53"/>
      <c r="F60" s="53"/>
      <c r="G60" s="52"/>
      <c r="H60" s="54">
        <f>+AFIRMACIONES!B87</f>
        <v>0</v>
      </c>
      <c r="I60" s="53"/>
      <c r="J60" s="53"/>
      <c r="K60" s="53"/>
      <c r="L60" s="53"/>
      <c r="M60" s="50">
        <v>157</v>
      </c>
      <c r="N60" s="51">
        <v>5</v>
      </c>
      <c r="O60" s="53"/>
      <c r="P60" s="53"/>
      <c r="Q60" s="53"/>
      <c r="R60" s="53"/>
      <c r="S60" s="54">
        <f>+AFIRMACIONES!B186</f>
        <v>0</v>
      </c>
      <c r="T60" s="53"/>
      <c r="U60" s="52"/>
      <c r="V60" s="53"/>
      <c r="W60" s="52"/>
      <c r="X60" s="50">
        <v>256</v>
      </c>
      <c r="Y60" s="51">
        <v>3</v>
      </c>
      <c r="Z60" s="53"/>
      <c r="AA60" s="53"/>
      <c r="AB60" s="54">
        <f>+AFIRMACIONES!B285</f>
        <v>0</v>
      </c>
      <c r="AC60" s="53"/>
      <c r="AD60" s="52"/>
      <c r="AE60" s="53"/>
      <c r="AF60" s="55"/>
      <c r="AG60" s="53"/>
      <c r="AH60" s="53"/>
    </row>
    <row r="61" spans="2:35" ht="12.75" hidden="1" customHeight="1" x14ac:dyDescent="0.25">
      <c r="B61" s="50">
        <v>59</v>
      </c>
      <c r="C61" s="51">
        <v>4</v>
      </c>
      <c r="D61" s="53"/>
      <c r="E61" s="53"/>
      <c r="F61" s="53"/>
      <c r="G61" s="54">
        <f>+AFIRMACIONES!B88</f>
        <v>0</v>
      </c>
      <c r="H61" s="53"/>
      <c r="I61" s="53"/>
      <c r="J61" s="52"/>
      <c r="K61" s="53"/>
      <c r="L61" s="53"/>
      <c r="M61" s="50">
        <v>158</v>
      </c>
      <c r="N61" s="51">
        <v>4</v>
      </c>
      <c r="O61" s="53"/>
      <c r="P61" s="53"/>
      <c r="Q61" s="52"/>
      <c r="R61" s="54">
        <f>+AFIRMACIONES!B187</f>
        <v>0</v>
      </c>
      <c r="S61" s="53"/>
      <c r="T61" s="53"/>
      <c r="U61" s="53"/>
      <c r="V61" s="53"/>
      <c r="W61" s="52"/>
      <c r="X61" s="50">
        <v>257</v>
      </c>
      <c r="Y61" s="51">
        <v>9</v>
      </c>
      <c r="Z61" s="53"/>
      <c r="AA61" s="53"/>
      <c r="AB61" s="55"/>
      <c r="AC61" s="53"/>
      <c r="AD61" s="53"/>
      <c r="AE61" s="53"/>
      <c r="AF61" s="55"/>
      <c r="AG61" s="53"/>
      <c r="AH61" s="54">
        <f>+AFIRMACIONES!B286</f>
        <v>0</v>
      </c>
    </row>
    <row r="62" spans="2:35" ht="12.75" hidden="1" customHeight="1" x14ac:dyDescent="0.25">
      <c r="B62" s="50">
        <v>60</v>
      </c>
      <c r="C62" s="51">
        <v>6</v>
      </c>
      <c r="D62" s="53"/>
      <c r="E62" s="52"/>
      <c r="F62" s="53"/>
      <c r="G62" s="53"/>
      <c r="H62" s="53"/>
      <c r="I62" s="54">
        <f>+AFIRMACIONES!B89</f>
        <v>0</v>
      </c>
      <c r="J62" s="53"/>
      <c r="K62" s="53"/>
      <c r="L62" s="53"/>
      <c r="M62" s="50">
        <v>159</v>
      </c>
      <c r="N62" s="51">
        <v>1</v>
      </c>
      <c r="O62" s="54">
        <f>+AFIRMACIONES!B188</f>
        <v>0</v>
      </c>
      <c r="P62" s="53"/>
      <c r="Q62" s="53"/>
      <c r="R62" s="52"/>
      <c r="S62" s="53"/>
      <c r="T62" s="53"/>
      <c r="U62" s="53"/>
      <c r="V62" s="53"/>
      <c r="W62" s="52"/>
      <c r="X62" s="50">
        <v>258</v>
      </c>
      <c r="Y62" s="51">
        <v>2</v>
      </c>
      <c r="Z62" s="53"/>
      <c r="AA62" s="54">
        <f>+AFIRMACIONES!B287</f>
        <v>0</v>
      </c>
      <c r="AB62" s="55"/>
      <c r="AC62" s="53"/>
      <c r="AD62" s="53"/>
      <c r="AE62" s="52"/>
      <c r="AF62" s="55"/>
      <c r="AG62" s="53"/>
      <c r="AH62" s="53"/>
      <c r="AI62" s="57"/>
    </row>
    <row r="63" spans="2:35" ht="12.75" hidden="1" customHeight="1" x14ac:dyDescent="0.25">
      <c r="B63" s="50">
        <v>61</v>
      </c>
      <c r="C63" s="51">
        <v>8</v>
      </c>
      <c r="D63" s="53"/>
      <c r="E63" s="52"/>
      <c r="F63" s="53"/>
      <c r="G63" s="53"/>
      <c r="H63" s="53"/>
      <c r="I63" s="53"/>
      <c r="J63" s="53"/>
      <c r="K63" s="54">
        <f>+AFIRMACIONES!B90</f>
        <v>0</v>
      </c>
      <c r="L63" s="53"/>
      <c r="M63" s="50">
        <v>160</v>
      </c>
      <c r="N63" s="51">
        <v>7</v>
      </c>
      <c r="O63" s="53"/>
      <c r="P63" s="53"/>
      <c r="Q63" s="53"/>
      <c r="R63" s="53"/>
      <c r="S63" s="53"/>
      <c r="T63" s="52"/>
      <c r="U63" s="54">
        <f>+AFIRMACIONES!B189</f>
        <v>0</v>
      </c>
      <c r="V63" s="53"/>
      <c r="W63" s="52"/>
      <c r="X63" s="50">
        <v>259</v>
      </c>
      <c r="Y63" s="51">
        <v>6</v>
      </c>
      <c r="Z63" s="53"/>
      <c r="AA63" s="53"/>
      <c r="AB63" s="55"/>
      <c r="AC63" s="53"/>
      <c r="AD63" s="53"/>
      <c r="AE63" s="54">
        <f>+AFIRMACIONES!B288</f>
        <v>0</v>
      </c>
      <c r="AF63" s="55"/>
      <c r="AG63" s="53"/>
      <c r="AH63" s="53"/>
      <c r="AI63" s="57"/>
    </row>
    <row r="64" spans="2:35" ht="12.75" hidden="1" customHeight="1" x14ac:dyDescent="0.25">
      <c r="B64" s="50">
        <v>62</v>
      </c>
      <c r="C64" s="51">
        <v>1</v>
      </c>
      <c r="D64" s="54">
        <f>+AFIRMACIONES!B91</f>
        <v>0</v>
      </c>
      <c r="E64" s="53"/>
      <c r="F64" s="52"/>
      <c r="G64" s="53"/>
      <c r="H64" s="53"/>
      <c r="I64" s="53"/>
      <c r="J64" s="53"/>
      <c r="K64" s="53"/>
      <c r="L64" s="53"/>
      <c r="M64" s="50">
        <v>161</v>
      </c>
      <c r="N64" s="51">
        <v>9</v>
      </c>
      <c r="O64" s="53"/>
      <c r="P64" s="53"/>
      <c r="Q64" s="53"/>
      <c r="R64" s="53"/>
      <c r="S64" s="53"/>
      <c r="T64" s="53"/>
      <c r="U64" s="53"/>
      <c r="V64" s="53"/>
      <c r="W64" s="54">
        <f>+AFIRMACIONES!B190</f>
        <v>0</v>
      </c>
      <c r="X64" s="50">
        <v>260</v>
      </c>
      <c r="Y64" s="51">
        <v>7</v>
      </c>
      <c r="Z64" s="53"/>
      <c r="AA64" s="53"/>
      <c r="AB64" s="55"/>
      <c r="AC64" s="53"/>
      <c r="AD64" s="53"/>
      <c r="AE64" s="53"/>
      <c r="AF64" s="54">
        <f>+AFIRMACIONES!B289</f>
        <v>0</v>
      </c>
      <c r="AG64" s="53"/>
      <c r="AH64" s="53"/>
      <c r="AI64" s="58"/>
    </row>
    <row r="65" spans="2:35" ht="12.75" hidden="1" customHeight="1" x14ac:dyDescent="0.25">
      <c r="B65" s="50">
        <v>63</v>
      </c>
      <c r="C65" s="51">
        <v>9</v>
      </c>
      <c r="D65" s="53"/>
      <c r="E65" s="53"/>
      <c r="F65" s="53"/>
      <c r="G65" s="53"/>
      <c r="H65" s="53"/>
      <c r="I65" s="53"/>
      <c r="J65" s="52"/>
      <c r="K65" s="53"/>
      <c r="L65" s="54">
        <f>+AFIRMACIONES!B92</f>
        <v>0</v>
      </c>
      <c r="M65" s="50">
        <v>162</v>
      </c>
      <c r="N65" s="51">
        <v>8</v>
      </c>
      <c r="O65" s="53"/>
      <c r="P65" s="53"/>
      <c r="Q65" s="53"/>
      <c r="R65" s="53"/>
      <c r="S65" s="53"/>
      <c r="T65" s="52"/>
      <c r="U65" s="53"/>
      <c r="V65" s="54">
        <f>+AFIRMACIONES!B191</f>
        <v>0</v>
      </c>
      <c r="W65" s="52"/>
      <c r="X65" s="50">
        <v>261</v>
      </c>
      <c r="Y65" s="51">
        <v>4</v>
      </c>
      <c r="Z65" s="53"/>
      <c r="AA65" s="53"/>
      <c r="AB65" s="55"/>
      <c r="AC65" s="54">
        <f>+AFIRMACIONES!B290</f>
        <v>0</v>
      </c>
      <c r="AD65" s="52"/>
      <c r="AE65" s="52"/>
      <c r="AF65" s="55"/>
      <c r="AG65" s="53"/>
      <c r="AH65" s="53"/>
      <c r="AI65" s="57"/>
    </row>
    <row r="66" spans="2:35" ht="12.75" hidden="1" customHeight="1" x14ac:dyDescent="0.25">
      <c r="B66" s="50">
        <v>64</v>
      </c>
      <c r="C66" s="51">
        <v>2</v>
      </c>
      <c r="D66" s="52"/>
      <c r="E66" s="54">
        <f>+AFIRMACIONES!B93</f>
        <v>0</v>
      </c>
      <c r="F66" s="53"/>
      <c r="G66" s="53"/>
      <c r="H66" s="53"/>
      <c r="I66" s="53"/>
      <c r="J66" s="53"/>
      <c r="K66" s="52"/>
      <c r="L66" s="53"/>
      <c r="M66" s="50">
        <v>163</v>
      </c>
      <c r="N66" s="51">
        <v>6</v>
      </c>
      <c r="O66" s="53"/>
      <c r="P66" s="53"/>
      <c r="Q66" s="53"/>
      <c r="R66" s="53"/>
      <c r="S66" s="52"/>
      <c r="T66" s="54">
        <f>+AFIRMACIONES!B192</f>
        <v>0</v>
      </c>
      <c r="U66" s="53"/>
      <c r="V66" s="53"/>
      <c r="W66" s="52"/>
      <c r="X66" s="50">
        <v>262</v>
      </c>
      <c r="Y66" s="51">
        <v>8</v>
      </c>
      <c r="Z66" s="53"/>
      <c r="AA66" s="53"/>
      <c r="AB66" s="55"/>
      <c r="AC66" s="53"/>
      <c r="AD66" s="53"/>
      <c r="AE66" s="52"/>
      <c r="AF66" s="55"/>
      <c r="AG66" s="54">
        <f>+AFIRMACIONES!B291</f>
        <v>0</v>
      </c>
      <c r="AH66" s="53"/>
      <c r="AI66" s="57"/>
    </row>
    <row r="67" spans="2:35" ht="12.75" hidden="1" customHeight="1" x14ac:dyDescent="0.25">
      <c r="B67" s="50">
        <v>65</v>
      </c>
      <c r="C67" s="51">
        <v>4</v>
      </c>
      <c r="D67" s="53"/>
      <c r="E67" s="53"/>
      <c r="F67" s="52"/>
      <c r="G67" s="54">
        <f>+AFIRMACIONES!B94</f>
        <v>0</v>
      </c>
      <c r="H67" s="53"/>
      <c r="I67" s="53"/>
      <c r="J67" s="53"/>
      <c r="K67" s="53"/>
      <c r="L67" s="53"/>
      <c r="M67" s="50">
        <v>164</v>
      </c>
      <c r="N67" s="51">
        <v>5</v>
      </c>
      <c r="O67" s="53"/>
      <c r="P67" s="53"/>
      <c r="Q67" s="53"/>
      <c r="R67" s="53"/>
      <c r="S67" s="54">
        <f>+AFIRMACIONES!B193</f>
        <v>0</v>
      </c>
      <c r="T67" s="53"/>
      <c r="U67" s="52"/>
      <c r="V67" s="53"/>
      <c r="W67" s="52"/>
      <c r="X67" s="50">
        <v>263</v>
      </c>
      <c r="Y67" s="51">
        <v>3</v>
      </c>
      <c r="Z67" s="53"/>
      <c r="AA67" s="53"/>
      <c r="AB67" s="54">
        <f>+AFIRMACIONES!B292</f>
        <v>0</v>
      </c>
      <c r="AC67" s="53"/>
      <c r="AD67" s="53"/>
      <c r="AE67" s="53"/>
      <c r="AF67" s="55"/>
      <c r="AG67" s="53"/>
      <c r="AH67" s="53"/>
      <c r="AI67" s="57"/>
    </row>
    <row r="68" spans="2:35" ht="12.75" hidden="1" customHeight="1" x14ac:dyDescent="0.25">
      <c r="B68" s="50">
        <v>66</v>
      </c>
      <c r="C68" s="51">
        <v>6</v>
      </c>
      <c r="D68" s="53"/>
      <c r="E68" s="53"/>
      <c r="F68" s="53"/>
      <c r="G68" s="53"/>
      <c r="H68" s="53"/>
      <c r="I68" s="54">
        <f>+AFIRMACIONES!B95</f>
        <v>0</v>
      </c>
      <c r="J68" s="53"/>
      <c r="K68" s="53"/>
      <c r="L68" s="52"/>
      <c r="M68" s="50">
        <v>165</v>
      </c>
      <c r="N68" s="51">
        <v>9</v>
      </c>
      <c r="O68" s="53"/>
      <c r="P68" s="53"/>
      <c r="Q68" s="53"/>
      <c r="R68" s="53"/>
      <c r="S68" s="53"/>
      <c r="T68" s="53"/>
      <c r="U68" s="53"/>
      <c r="V68" s="53"/>
      <c r="W68" s="54">
        <f>+AFIRMACIONES!B194</f>
        <v>0</v>
      </c>
      <c r="X68" s="50">
        <v>264</v>
      </c>
      <c r="Y68" s="51">
        <v>5</v>
      </c>
      <c r="Z68" s="53"/>
      <c r="AA68" s="53"/>
      <c r="AB68" s="55"/>
      <c r="AC68" s="52"/>
      <c r="AD68" s="54">
        <f>+AFIRMACIONES!$B293</f>
        <v>0</v>
      </c>
      <c r="AE68" s="53"/>
      <c r="AF68" s="55"/>
      <c r="AG68" s="53"/>
      <c r="AH68" s="53"/>
      <c r="AI68" s="57"/>
    </row>
    <row r="69" spans="2:35" ht="12.75" hidden="1" customHeight="1" x14ac:dyDescent="0.25">
      <c r="B69" s="50">
        <v>67</v>
      </c>
      <c r="C69" s="51">
        <v>5</v>
      </c>
      <c r="D69" s="53"/>
      <c r="E69" s="53"/>
      <c r="F69" s="53"/>
      <c r="G69" s="53"/>
      <c r="H69" s="54">
        <f>+AFIRMACIONES!B96</f>
        <v>0</v>
      </c>
      <c r="I69" s="53"/>
      <c r="J69" s="53"/>
      <c r="K69" s="53"/>
      <c r="L69" s="52"/>
      <c r="M69" s="50">
        <v>166</v>
      </c>
      <c r="N69" s="51">
        <v>7</v>
      </c>
      <c r="O69" s="53"/>
      <c r="P69" s="53"/>
      <c r="Q69" s="53"/>
      <c r="R69" s="53"/>
      <c r="S69" s="53"/>
      <c r="T69" s="53"/>
      <c r="U69" s="54">
        <f>+AFIRMACIONES!B195</f>
        <v>0</v>
      </c>
      <c r="V69" s="52"/>
      <c r="W69" s="52"/>
      <c r="X69" s="50">
        <v>265</v>
      </c>
      <c r="Y69" s="51">
        <v>7</v>
      </c>
      <c r="Z69" s="52"/>
      <c r="AA69" s="53"/>
      <c r="AB69" s="55"/>
      <c r="AC69" s="53"/>
      <c r="AD69" s="53"/>
      <c r="AE69" s="53"/>
      <c r="AF69" s="54">
        <f>+AFIRMACIONES!B294</f>
        <v>0</v>
      </c>
      <c r="AG69" s="53"/>
      <c r="AH69" s="53"/>
      <c r="AI69" s="45"/>
    </row>
    <row r="70" spans="2:35" ht="12.75" hidden="1" customHeight="1" x14ac:dyDescent="0.25">
      <c r="B70" s="50">
        <v>68</v>
      </c>
      <c r="C70" s="51">
        <v>9</v>
      </c>
      <c r="D70" s="52"/>
      <c r="E70" s="53"/>
      <c r="F70" s="53"/>
      <c r="G70" s="53"/>
      <c r="H70" s="53"/>
      <c r="I70" s="53"/>
      <c r="J70" s="53"/>
      <c r="K70" s="53"/>
      <c r="L70" s="54">
        <f>+AFIRMACIONES!B97</f>
        <v>0</v>
      </c>
      <c r="M70" s="50">
        <v>167</v>
      </c>
      <c r="N70" s="51">
        <v>4</v>
      </c>
      <c r="O70" s="52"/>
      <c r="P70" s="53"/>
      <c r="Q70" s="53"/>
      <c r="R70" s="54">
        <f>+AFIRMACIONES!B196</f>
        <v>0</v>
      </c>
      <c r="S70" s="53"/>
      <c r="T70" s="53"/>
      <c r="U70" s="53"/>
      <c r="V70" s="53"/>
      <c r="W70" s="52"/>
      <c r="X70" s="50">
        <v>266</v>
      </c>
      <c r="Y70" s="51">
        <v>9</v>
      </c>
      <c r="Z70" s="53"/>
      <c r="AA70" s="53"/>
      <c r="AB70" s="55"/>
      <c r="AC70" s="53"/>
      <c r="AD70" s="53"/>
      <c r="AE70" s="52"/>
      <c r="AF70" s="55"/>
      <c r="AG70" s="53"/>
      <c r="AH70" s="54">
        <f>+AFIRMACIONES!B295</f>
        <v>0</v>
      </c>
      <c r="AI70" s="58"/>
    </row>
    <row r="71" spans="2:35" ht="12.75" hidden="1" customHeight="1" x14ac:dyDescent="0.25">
      <c r="B71" s="50">
        <v>69</v>
      </c>
      <c r="C71" s="51">
        <v>3</v>
      </c>
      <c r="D71" s="53"/>
      <c r="E71" s="53"/>
      <c r="F71" s="54">
        <f>+AFIRMACIONES!B98</f>
        <v>0</v>
      </c>
      <c r="G71" s="53"/>
      <c r="H71" s="53"/>
      <c r="I71" s="53"/>
      <c r="J71" s="52"/>
      <c r="K71" s="53"/>
      <c r="L71" s="53"/>
      <c r="M71" s="50">
        <v>168</v>
      </c>
      <c r="N71" s="51">
        <v>1</v>
      </c>
      <c r="O71" s="54">
        <f>+AFIRMACIONES!B197</f>
        <v>0</v>
      </c>
      <c r="P71" s="52"/>
      <c r="Q71" s="53"/>
      <c r="R71" s="53"/>
      <c r="S71" s="53"/>
      <c r="T71" s="53"/>
      <c r="U71" s="53"/>
      <c r="V71" s="53"/>
      <c r="W71" s="52"/>
      <c r="X71" s="50">
        <v>267</v>
      </c>
      <c r="Y71" s="51">
        <v>4</v>
      </c>
      <c r="Z71" s="53"/>
      <c r="AA71" s="53"/>
      <c r="AB71" s="55"/>
      <c r="AC71" s="54">
        <f>+AFIRMACIONES!B296</f>
        <v>0</v>
      </c>
      <c r="AD71" s="52"/>
      <c r="AE71" s="53"/>
      <c r="AF71" s="55"/>
      <c r="AG71" s="53"/>
      <c r="AH71" s="53"/>
      <c r="AI71" s="59"/>
    </row>
    <row r="72" spans="2:35" ht="12.75" hidden="1" customHeight="1" x14ac:dyDescent="0.25">
      <c r="B72" s="50">
        <v>70</v>
      </c>
      <c r="C72" s="51">
        <v>1</v>
      </c>
      <c r="D72" s="54">
        <f>+AFIRMACIONES!B99</f>
        <v>0</v>
      </c>
      <c r="E72" s="53"/>
      <c r="F72" s="53"/>
      <c r="G72" s="53"/>
      <c r="H72" s="53"/>
      <c r="I72" s="53"/>
      <c r="J72" s="52"/>
      <c r="K72" s="53"/>
      <c r="L72" s="53"/>
      <c r="M72" s="50">
        <v>169</v>
      </c>
      <c r="N72" s="51">
        <v>3</v>
      </c>
      <c r="O72" s="53"/>
      <c r="P72" s="52"/>
      <c r="Q72" s="54">
        <f>+AFIRMACIONES!B198</f>
        <v>0</v>
      </c>
      <c r="R72" s="53"/>
      <c r="S72" s="53"/>
      <c r="T72" s="53"/>
      <c r="U72" s="53"/>
      <c r="V72" s="53"/>
      <c r="W72" s="52"/>
      <c r="X72" s="50">
        <v>268</v>
      </c>
      <c r="Y72" s="51">
        <v>1</v>
      </c>
      <c r="Z72" s="54">
        <f>+AFIRMACIONES!B297</f>
        <v>0</v>
      </c>
      <c r="AA72" s="53"/>
      <c r="AB72" s="55"/>
      <c r="AC72" s="53"/>
      <c r="AD72" s="53"/>
      <c r="AE72" s="53"/>
      <c r="AF72" s="55"/>
      <c r="AG72" s="53"/>
      <c r="AH72" s="53"/>
      <c r="AI72" s="59"/>
    </row>
    <row r="73" spans="2:35" ht="12.75" hidden="1" customHeight="1" x14ac:dyDescent="0.25">
      <c r="B73" s="50">
        <v>71</v>
      </c>
      <c r="C73" s="51">
        <v>7</v>
      </c>
      <c r="D73" s="53"/>
      <c r="E73" s="53"/>
      <c r="F73" s="53"/>
      <c r="G73" s="52"/>
      <c r="H73" s="53"/>
      <c r="I73" s="53"/>
      <c r="J73" s="54">
        <f>+AFIRMACIONES!B100</f>
        <v>0</v>
      </c>
      <c r="K73" s="53"/>
      <c r="L73" s="53"/>
      <c r="M73" s="50">
        <v>170</v>
      </c>
      <c r="N73" s="51">
        <v>2</v>
      </c>
      <c r="O73" s="53"/>
      <c r="P73" s="54">
        <f>+AFIRMACIONES!B199</f>
        <v>0</v>
      </c>
      <c r="Q73" s="53"/>
      <c r="R73" s="53"/>
      <c r="S73" s="53"/>
      <c r="T73" s="53"/>
      <c r="U73" s="53"/>
      <c r="V73" s="53"/>
      <c r="W73" s="52"/>
      <c r="X73" s="50">
        <v>269</v>
      </c>
      <c r="Y73" s="51">
        <v>6</v>
      </c>
      <c r="Z73" s="53"/>
      <c r="AA73" s="53"/>
      <c r="AB73" s="55"/>
      <c r="AC73" s="53"/>
      <c r="AD73" s="52"/>
      <c r="AE73" s="54">
        <f>+AFIRMACIONES!B298</f>
        <v>0</v>
      </c>
      <c r="AF73" s="55"/>
      <c r="AG73" s="53"/>
      <c r="AH73" s="53"/>
      <c r="AI73" s="59"/>
    </row>
    <row r="74" spans="2:35" ht="12.75" hidden="1" customHeight="1" x14ac:dyDescent="0.25">
      <c r="B74" s="50">
        <v>72</v>
      </c>
      <c r="C74" s="51">
        <v>8</v>
      </c>
      <c r="D74" s="53"/>
      <c r="E74" s="53"/>
      <c r="F74" s="53"/>
      <c r="G74" s="52"/>
      <c r="H74" s="53"/>
      <c r="I74" s="53"/>
      <c r="J74" s="53"/>
      <c r="K74" s="54">
        <f>+AFIRMACIONES!B101</f>
        <v>0</v>
      </c>
      <c r="L74" s="53"/>
      <c r="M74" s="50">
        <v>171</v>
      </c>
      <c r="N74" s="51">
        <v>8</v>
      </c>
      <c r="O74" s="53"/>
      <c r="P74" s="53"/>
      <c r="Q74" s="53"/>
      <c r="R74" s="52"/>
      <c r="S74" s="53"/>
      <c r="T74" s="53"/>
      <c r="U74" s="53"/>
      <c r="V74" s="54">
        <f>+AFIRMACIONES!B200</f>
        <v>0</v>
      </c>
      <c r="W74" s="52"/>
      <c r="X74" s="50">
        <v>270</v>
      </c>
      <c r="Y74" s="51">
        <v>2</v>
      </c>
      <c r="Z74" s="53"/>
      <c r="AA74" s="54">
        <f>+AFIRMACIONES!B299</f>
        <v>0</v>
      </c>
      <c r="AB74" s="56"/>
      <c r="AC74" s="53"/>
      <c r="AD74" s="53"/>
      <c r="AE74" s="53"/>
      <c r="AF74" s="55"/>
      <c r="AG74" s="53"/>
      <c r="AH74" s="53"/>
      <c r="AI74" s="18"/>
    </row>
    <row r="75" spans="2:35" ht="12.75" hidden="1" customHeight="1" x14ac:dyDescent="0.25">
      <c r="B75" s="50">
        <v>73</v>
      </c>
      <c r="C75" s="51">
        <v>1</v>
      </c>
      <c r="D75" s="54">
        <f>+AFIRMACIONES!B102</f>
        <v>0</v>
      </c>
      <c r="E75" s="53"/>
      <c r="F75" s="53"/>
      <c r="G75" s="53"/>
      <c r="H75" s="53"/>
      <c r="I75" s="53"/>
      <c r="J75" s="53"/>
      <c r="K75" s="53"/>
      <c r="L75" s="52"/>
      <c r="M75" s="50">
        <v>172</v>
      </c>
      <c r="N75" s="51">
        <v>7</v>
      </c>
      <c r="O75" s="53"/>
      <c r="P75" s="52"/>
      <c r="Q75" s="53"/>
      <c r="R75" s="53"/>
      <c r="S75" s="53"/>
      <c r="T75" s="53"/>
      <c r="U75" s="54">
        <f>+AFIRMACIONES!B201</f>
        <v>0</v>
      </c>
      <c r="V75" s="52"/>
      <c r="W75" s="52"/>
      <c r="X75" s="478" t="s">
        <v>419</v>
      </c>
      <c r="Y75" s="388"/>
      <c r="Z75" s="60">
        <f t="shared" ref="Z75:AH75" si="0">SUM(Z3:Z74)</f>
        <v>0</v>
      </c>
      <c r="AA75" s="60">
        <f t="shared" si="0"/>
        <v>0</v>
      </c>
      <c r="AB75" s="60">
        <f t="shared" si="0"/>
        <v>0</v>
      </c>
      <c r="AC75" s="60">
        <f t="shared" si="0"/>
        <v>0</v>
      </c>
      <c r="AD75" s="60">
        <f t="shared" si="0"/>
        <v>0</v>
      </c>
      <c r="AE75" s="60">
        <f t="shared" si="0"/>
        <v>0</v>
      </c>
      <c r="AF75" s="60">
        <f t="shared" si="0"/>
        <v>0</v>
      </c>
      <c r="AG75" s="60">
        <f t="shared" si="0"/>
        <v>0</v>
      </c>
      <c r="AH75" s="60">
        <f t="shared" si="0"/>
        <v>0</v>
      </c>
      <c r="AI75" s="57"/>
    </row>
    <row r="76" spans="2:35" ht="12.75" hidden="1" customHeight="1" x14ac:dyDescent="0.25">
      <c r="B76" s="50">
        <v>74</v>
      </c>
      <c r="C76" s="51">
        <v>3</v>
      </c>
      <c r="D76" s="53"/>
      <c r="E76" s="53"/>
      <c r="F76" s="54">
        <f>+AFIRMACIONES!B103</f>
        <v>0</v>
      </c>
      <c r="G76" s="53"/>
      <c r="H76" s="53"/>
      <c r="I76" s="52"/>
      <c r="J76" s="53"/>
      <c r="K76" s="53"/>
      <c r="L76" s="53"/>
      <c r="M76" s="50">
        <v>173</v>
      </c>
      <c r="N76" s="51">
        <v>6</v>
      </c>
      <c r="O76" s="53"/>
      <c r="P76" s="53"/>
      <c r="Q76" s="53"/>
      <c r="R76" s="52"/>
      <c r="S76" s="53"/>
      <c r="T76" s="54">
        <f>+AFIRMACIONES!B202</f>
        <v>0</v>
      </c>
      <c r="U76" s="53"/>
      <c r="V76" s="53"/>
      <c r="W76" s="52"/>
      <c r="X76" s="61"/>
      <c r="Y76" s="18"/>
      <c r="Z76" s="57"/>
      <c r="AA76" s="57"/>
      <c r="AB76" s="45"/>
      <c r="AC76" s="57"/>
      <c r="AD76" s="57"/>
      <c r="AE76" s="18"/>
      <c r="AF76" s="57"/>
      <c r="AG76" s="45"/>
      <c r="AH76" s="57"/>
      <c r="AI76" s="57"/>
    </row>
    <row r="77" spans="2:35" ht="12.75" hidden="1" customHeight="1" x14ac:dyDescent="0.3">
      <c r="B77" s="50">
        <v>75</v>
      </c>
      <c r="C77" s="51">
        <v>6</v>
      </c>
      <c r="D77" s="53"/>
      <c r="E77" s="53"/>
      <c r="F77" s="53"/>
      <c r="G77" s="52"/>
      <c r="H77" s="53"/>
      <c r="I77" s="54">
        <f>+AFIRMACIONES!B104</f>
        <v>0</v>
      </c>
      <c r="J77" s="53"/>
      <c r="K77" s="53"/>
      <c r="L77" s="53"/>
      <c r="M77" s="50">
        <v>174</v>
      </c>
      <c r="N77" s="51">
        <v>4</v>
      </c>
      <c r="O77" s="52"/>
      <c r="P77" s="53"/>
      <c r="Q77" s="53"/>
      <c r="R77" s="54">
        <f>+AFIRMACIONES!B203</f>
        <v>0</v>
      </c>
      <c r="S77" s="53"/>
      <c r="T77" s="53"/>
      <c r="U77" s="53"/>
      <c r="V77" s="53"/>
      <c r="W77" s="52"/>
      <c r="X77" s="61"/>
      <c r="Y77" s="18"/>
      <c r="Z77" s="473" t="s">
        <v>349</v>
      </c>
      <c r="AA77" s="361"/>
      <c r="AB77" s="361"/>
      <c r="AC77" s="361"/>
      <c r="AD77" s="361"/>
      <c r="AE77" s="361"/>
      <c r="AF77" s="361"/>
      <c r="AG77" s="361"/>
      <c r="AH77" s="388"/>
      <c r="AI77" s="57"/>
    </row>
    <row r="78" spans="2:35" ht="12.75" hidden="1" customHeight="1" x14ac:dyDescent="0.25">
      <c r="B78" s="50">
        <v>76</v>
      </c>
      <c r="C78" s="51">
        <v>9</v>
      </c>
      <c r="D78" s="52"/>
      <c r="E78" s="53"/>
      <c r="F78" s="53"/>
      <c r="G78" s="53"/>
      <c r="H78" s="53"/>
      <c r="I78" s="53"/>
      <c r="J78" s="52"/>
      <c r="K78" s="53"/>
      <c r="L78" s="54">
        <f>+AFIRMACIONES!B105</f>
        <v>0</v>
      </c>
      <c r="M78" s="50">
        <v>175</v>
      </c>
      <c r="N78" s="51">
        <v>9</v>
      </c>
      <c r="O78" s="53"/>
      <c r="P78" s="53"/>
      <c r="Q78" s="53"/>
      <c r="R78" s="53"/>
      <c r="S78" s="53"/>
      <c r="T78" s="53"/>
      <c r="U78" s="52"/>
      <c r="V78" s="53"/>
      <c r="W78" s="54">
        <f>+AFIRMACIONES!B204</f>
        <v>0</v>
      </c>
      <c r="X78" s="61"/>
      <c r="Y78" s="18"/>
      <c r="Z78" s="46">
        <v>1</v>
      </c>
      <c r="AA78" s="46">
        <v>2</v>
      </c>
      <c r="AB78" s="46">
        <v>3</v>
      </c>
      <c r="AC78" s="62">
        <v>4</v>
      </c>
      <c r="AD78" s="63">
        <v>5</v>
      </c>
      <c r="AE78" s="46">
        <v>6</v>
      </c>
      <c r="AF78" s="46">
        <v>7</v>
      </c>
      <c r="AG78" s="46">
        <v>8</v>
      </c>
      <c r="AH78" s="46">
        <v>9</v>
      </c>
      <c r="AI78" s="57"/>
    </row>
    <row r="79" spans="2:35" ht="12.75" hidden="1" customHeight="1" x14ac:dyDescent="0.25">
      <c r="B79" s="50">
        <v>77</v>
      </c>
      <c r="C79" s="51">
        <v>4</v>
      </c>
      <c r="D79" s="53"/>
      <c r="E79" s="53"/>
      <c r="F79" s="52"/>
      <c r="G79" s="54">
        <f>+AFIRMACIONES!B106</f>
        <v>0</v>
      </c>
      <c r="H79" s="53"/>
      <c r="I79" s="53"/>
      <c r="J79" s="53"/>
      <c r="K79" s="53"/>
      <c r="L79" s="53"/>
      <c r="M79" s="50">
        <v>176</v>
      </c>
      <c r="N79" s="51">
        <v>8</v>
      </c>
      <c r="O79" s="53"/>
      <c r="P79" s="53"/>
      <c r="Q79" s="53"/>
      <c r="R79" s="53"/>
      <c r="S79" s="52"/>
      <c r="T79" s="53"/>
      <c r="U79" s="53"/>
      <c r="V79" s="54">
        <f>+AFIRMACIONES!B205</f>
        <v>0</v>
      </c>
      <c r="W79" s="52"/>
      <c r="X79" s="479" t="str">
        <f>+B102</f>
        <v>Sub Total A</v>
      </c>
      <c r="Y79" s="388"/>
      <c r="Z79" s="53">
        <f t="shared" ref="Z79:AH79" si="1">+D102</f>
        <v>0</v>
      </c>
      <c r="AA79" s="53">
        <f t="shared" si="1"/>
        <v>0</v>
      </c>
      <c r="AB79" s="53">
        <f t="shared" si="1"/>
        <v>0</v>
      </c>
      <c r="AC79" s="53">
        <f t="shared" si="1"/>
        <v>0</v>
      </c>
      <c r="AD79" s="53">
        <f t="shared" si="1"/>
        <v>0</v>
      </c>
      <c r="AE79" s="53">
        <f t="shared" si="1"/>
        <v>0</v>
      </c>
      <c r="AF79" s="53">
        <f t="shared" si="1"/>
        <v>0</v>
      </c>
      <c r="AG79" s="53">
        <f t="shared" si="1"/>
        <v>0</v>
      </c>
      <c r="AH79" s="53">
        <f t="shared" si="1"/>
        <v>0</v>
      </c>
      <c r="AI79" s="64" t="s">
        <v>420</v>
      </c>
    </row>
    <row r="80" spans="2:35" ht="12.75" hidden="1" customHeight="1" x14ac:dyDescent="0.25">
      <c r="B80" s="50">
        <v>78</v>
      </c>
      <c r="C80" s="51">
        <v>7</v>
      </c>
      <c r="D80" s="53"/>
      <c r="E80" s="53"/>
      <c r="F80" s="53"/>
      <c r="G80" s="52"/>
      <c r="H80" s="52"/>
      <c r="I80" s="53"/>
      <c r="J80" s="54">
        <f>+AFIRMACIONES!B107</f>
        <v>0</v>
      </c>
      <c r="K80" s="53"/>
      <c r="L80" s="53"/>
      <c r="M80" s="50">
        <v>177</v>
      </c>
      <c r="N80" s="51">
        <v>5</v>
      </c>
      <c r="O80" s="53"/>
      <c r="P80" s="53"/>
      <c r="Q80" s="52"/>
      <c r="R80" s="53"/>
      <c r="S80" s="54">
        <f>+AFIRMACIONES!B206</f>
        <v>0</v>
      </c>
      <c r="T80" s="53"/>
      <c r="U80" s="53"/>
      <c r="V80" s="53"/>
      <c r="W80" s="52"/>
      <c r="X80" s="479" t="str">
        <f>+M102</f>
        <v>Sub Total B</v>
      </c>
      <c r="Y80" s="388"/>
      <c r="Z80" s="53">
        <f t="shared" ref="Z80:AH80" si="2">+O102</f>
        <v>0</v>
      </c>
      <c r="AA80" s="53">
        <f t="shared" si="2"/>
        <v>0</v>
      </c>
      <c r="AB80" s="53">
        <f t="shared" si="2"/>
        <v>0</v>
      </c>
      <c r="AC80" s="53">
        <f t="shared" si="2"/>
        <v>0</v>
      </c>
      <c r="AD80" s="53">
        <f t="shared" si="2"/>
        <v>0</v>
      </c>
      <c r="AE80" s="53">
        <f t="shared" si="2"/>
        <v>0</v>
      </c>
      <c r="AF80" s="53">
        <f t="shared" si="2"/>
        <v>0</v>
      </c>
      <c r="AG80" s="53">
        <f t="shared" si="2"/>
        <v>0</v>
      </c>
      <c r="AH80" s="53">
        <f t="shared" si="2"/>
        <v>0</v>
      </c>
      <c r="AI80" s="65" t="s">
        <v>421</v>
      </c>
    </row>
    <row r="81" spans="2:38" ht="12.75" hidden="1" customHeight="1" x14ac:dyDescent="0.25">
      <c r="B81" s="50">
        <v>79</v>
      </c>
      <c r="C81" s="51">
        <v>5</v>
      </c>
      <c r="D81" s="53"/>
      <c r="E81" s="53"/>
      <c r="F81" s="53"/>
      <c r="G81" s="52"/>
      <c r="H81" s="54">
        <f>+AFIRMACIONES!B108</f>
        <v>0</v>
      </c>
      <c r="I81" s="53"/>
      <c r="J81" s="53"/>
      <c r="K81" s="53"/>
      <c r="L81" s="53"/>
      <c r="M81" s="50">
        <v>178</v>
      </c>
      <c r="N81" s="51">
        <v>3</v>
      </c>
      <c r="O81" s="53"/>
      <c r="P81" s="52"/>
      <c r="Q81" s="54">
        <f>+AFIRMACIONES!B207</f>
        <v>0</v>
      </c>
      <c r="R81" s="53"/>
      <c r="S81" s="53"/>
      <c r="T81" s="53"/>
      <c r="U81" s="53"/>
      <c r="V81" s="53"/>
      <c r="W81" s="52"/>
      <c r="X81" s="479" t="s">
        <v>419</v>
      </c>
      <c r="Y81" s="388"/>
      <c r="Z81" s="53">
        <f t="shared" ref="Z81:AH81" si="3">+Z75</f>
        <v>0</v>
      </c>
      <c r="AA81" s="53">
        <f t="shared" si="3"/>
        <v>0</v>
      </c>
      <c r="AB81" s="53">
        <f t="shared" si="3"/>
        <v>0</v>
      </c>
      <c r="AC81" s="53">
        <f t="shared" si="3"/>
        <v>0</v>
      </c>
      <c r="AD81" s="53">
        <f t="shared" si="3"/>
        <v>0</v>
      </c>
      <c r="AE81" s="53">
        <f t="shared" si="3"/>
        <v>0</v>
      </c>
      <c r="AF81" s="53">
        <f t="shared" si="3"/>
        <v>0</v>
      </c>
      <c r="AG81" s="53">
        <f t="shared" si="3"/>
        <v>0</v>
      </c>
      <c r="AH81" s="53">
        <f t="shared" si="3"/>
        <v>0</v>
      </c>
      <c r="AI81" s="65" t="s">
        <v>422</v>
      </c>
    </row>
    <row r="82" spans="2:38" ht="12.75" hidden="1" customHeight="1" x14ac:dyDescent="0.3">
      <c r="B82" s="50">
        <v>80</v>
      </c>
      <c r="C82" s="51">
        <v>8</v>
      </c>
      <c r="D82" s="53"/>
      <c r="E82" s="52"/>
      <c r="F82" s="53"/>
      <c r="G82" s="53"/>
      <c r="H82" s="53"/>
      <c r="I82" s="53"/>
      <c r="J82" s="53"/>
      <c r="K82" s="54">
        <f>+AFIRMACIONES!B109</f>
        <v>0</v>
      </c>
      <c r="L82" s="53"/>
      <c r="M82" s="50">
        <v>179</v>
      </c>
      <c r="N82" s="51">
        <v>2</v>
      </c>
      <c r="O82" s="53"/>
      <c r="P82" s="54">
        <f>+AFIRMACIONES!B208</f>
        <v>0</v>
      </c>
      <c r="Q82" s="53"/>
      <c r="R82" s="53"/>
      <c r="S82" s="53"/>
      <c r="T82" s="53"/>
      <c r="U82" s="53"/>
      <c r="V82" s="53"/>
      <c r="W82" s="52"/>
      <c r="X82" s="479" t="s">
        <v>423</v>
      </c>
      <c r="Y82" s="388"/>
      <c r="Z82" s="66">
        <f t="shared" ref="Z82:AH82" si="4">+B170</f>
        <v>0</v>
      </c>
      <c r="AA82" s="66">
        <f t="shared" si="4"/>
        <v>0</v>
      </c>
      <c r="AB82" s="66">
        <f t="shared" si="4"/>
        <v>0</v>
      </c>
      <c r="AC82" s="66">
        <f t="shared" si="4"/>
        <v>0</v>
      </c>
      <c r="AD82" s="66">
        <f t="shared" si="4"/>
        <v>0</v>
      </c>
      <c r="AE82" s="66">
        <f t="shared" si="4"/>
        <v>0</v>
      </c>
      <c r="AF82" s="66">
        <f t="shared" si="4"/>
        <v>0</v>
      </c>
      <c r="AG82" s="66">
        <f t="shared" si="4"/>
        <v>0</v>
      </c>
      <c r="AH82" s="66">
        <f t="shared" si="4"/>
        <v>0</v>
      </c>
      <c r="AI82" s="67">
        <f>SUM(Z82:AH82)</f>
        <v>0</v>
      </c>
    </row>
    <row r="83" spans="2:38" ht="12.75" hidden="1" customHeight="1" x14ac:dyDescent="0.25">
      <c r="B83" s="50">
        <v>81</v>
      </c>
      <c r="C83" s="51">
        <v>2</v>
      </c>
      <c r="D83" s="52"/>
      <c r="E83" s="54">
        <f>+AFIRMACIONES!B110</f>
        <v>0</v>
      </c>
      <c r="F83" s="53"/>
      <c r="G83" s="52"/>
      <c r="H83" s="53"/>
      <c r="I83" s="53"/>
      <c r="J83" s="53"/>
      <c r="K83" s="53"/>
      <c r="L83" s="53"/>
      <c r="M83" s="50">
        <v>180</v>
      </c>
      <c r="N83" s="51">
        <v>1</v>
      </c>
      <c r="O83" s="54">
        <f>+AFIRMACIONES!B209</f>
        <v>0</v>
      </c>
      <c r="P83" s="52"/>
      <c r="Q83" s="53"/>
      <c r="R83" s="53"/>
      <c r="S83" s="53"/>
      <c r="T83" s="53"/>
      <c r="U83" s="53"/>
      <c r="V83" s="53"/>
      <c r="W83" s="52"/>
      <c r="X83" s="61"/>
      <c r="Y83" s="18"/>
      <c r="Z83" s="57"/>
      <c r="AA83" s="57"/>
      <c r="AB83" s="68"/>
      <c r="AC83" s="57"/>
      <c r="AD83" s="57"/>
      <c r="AE83" s="57"/>
      <c r="AF83" s="57"/>
      <c r="AG83" s="45"/>
      <c r="AH83" s="57"/>
      <c r="AI83" s="57"/>
    </row>
    <row r="84" spans="2:38" ht="12.75" hidden="1" customHeight="1" x14ac:dyDescent="0.25">
      <c r="B84" s="50">
        <v>82</v>
      </c>
      <c r="C84" s="51">
        <v>5</v>
      </c>
      <c r="D84" s="53"/>
      <c r="E84" s="53"/>
      <c r="F84" s="53"/>
      <c r="G84" s="53"/>
      <c r="H84" s="54">
        <f>+AFIRMACIONES!B111</f>
        <v>0</v>
      </c>
      <c r="I84" s="53"/>
      <c r="J84" s="53"/>
      <c r="K84" s="52"/>
      <c r="L84" s="53"/>
      <c r="M84" s="50">
        <v>181</v>
      </c>
      <c r="N84" s="51">
        <v>8</v>
      </c>
      <c r="O84" s="53"/>
      <c r="P84" s="53"/>
      <c r="Q84" s="53"/>
      <c r="R84" s="53"/>
      <c r="S84" s="52"/>
      <c r="T84" s="53"/>
      <c r="U84" s="53"/>
      <c r="V84" s="54">
        <f>+AFIRMACIONES!B210</f>
        <v>0</v>
      </c>
      <c r="W84" s="52"/>
      <c r="X84" s="480"/>
      <c r="Y84" s="446"/>
      <c r="Z84" s="481" t="s">
        <v>424</v>
      </c>
      <c r="AA84" s="449"/>
      <c r="AB84" s="449"/>
      <c r="AC84" s="449"/>
      <c r="AD84" s="449"/>
      <c r="AE84" s="449"/>
      <c r="AF84" s="391"/>
      <c r="AG84" s="483">
        <f>IF(H172&lt;=13,2,3)</f>
        <v>2</v>
      </c>
      <c r="AH84" s="58"/>
      <c r="AI84" s="57"/>
    </row>
    <row r="85" spans="2:38" ht="12.75" hidden="1" customHeight="1" x14ac:dyDescent="0.25">
      <c r="B85" s="50">
        <v>83</v>
      </c>
      <c r="C85" s="51">
        <v>6</v>
      </c>
      <c r="D85" s="53"/>
      <c r="E85" s="53"/>
      <c r="F85" s="53"/>
      <c r="G85" s="52"/>
      <c r="H85" s="53"/>
      <c r="I85" s="54">
        <f>+AFIRMACIONES!B112</f>
        <v>0</v>
      </c>
      <c r="J85" s="53"/>
      <c r="K85" s="53"/>
      <c r="L85" s="53"/>
      <c r="M85" s="50">
        <v>182</v>
      </c>
      <c r="N85" s="51">
        <v>9</v>
      </c>
      <c r="O85" s="53"/>
      <c r="P85" s="52"/>
      <c r="Q85" s="53"/>
      <c r="R85" s="53"/>
      <c r="S85" s="53"/>
      <c r="T85" s="53"/>
      <c r="U85" s="53"/>
      <c r="V85" s="53"/>
      <c r="W85" s="54">
        <f>+AFIRMACIONES!B211</f>
        <v>0</v>
      </c>
      <c r="X85" s="70"/>
      <c r="Y85" s="71"/>
      <c r="Z85" s="482"/>
      <c r="AA85" s="446"/>
      <c r="AB85" s="446"/>
      <c r="AC85" s="446"/>
      <c r="AD85" s="446"/>
      <c r="AE85" s="446"/>
      <c r="AF85" s="393"/>
      <c r="AG85" s="484"/>
      <c r="AH85" s="59"/>
      <c r="AI85" s="57"/>
    </row>
    <row r="86" spans="2:38" ht="12.75" hidden="1" customHeight="1" x14ac:dyDescent="0.25">
      <c r="B86" s="50">
        <v>84</v>
      </c>
      <c r="C86" s="51">
        <v>3</v>
      </c>
      <c r="D86" s="53"/>
      <c r="E86" s="53"/>
      <c r="F86" s="54">
        <f>+AFIRMACIONES!B113</f>
        <v>0</v>
      </c>
      <c r="G86" s="52"/>
      <c r="H86" s="53"/>
      <c r="I86" s="53"/>
      <c r="J86" s="53"/>
      <c r="K86" s="53"/>
      <c r="L86" s="53"/>
      <c r="M86" s="50">
        <v>183</v>
      </c>
      <c r="N86" s="51">
        <v>2</v>
      </c>
      <c r="O86" s="53"/>
      <c r="P86" s="54">
        <f>+AFIRMACIONES!B212</f>
        <v>0</v>
      </c>
      <c r="Q86" s="53"/>
      <c r="R86" s="53"/>
      <c r="S86" s="53"/>
      <c r="T86" s="53"/>
      <c r="U86" s="52"/>
      <c r="V86" s="53"/>
      <c r="W86" s="52"/>
      <c r="X86" s="70"/>
      <c r="Y86" s="71"/>
      <c r="Z86" s="482"/>
      <c r="AA86" s="446"/>
      <c r="AB86" s="446"/>
      <c r="AC86" s="446"/>
      <c r="AD86" s="446"/>
      <c r="AE86" s="446"/>
      <c r="AF86" s="393"/>
      <c r="AG86" s="484"/>
      <c r="AH86" s="59"/>
      <c r="AI86" s="57"/>
    </row>
    <row r="87" spans="2:38" ht="12.75" hidden="1" customHeight="1" x14ac:dyDescent="0.25">
      <c r="B87" s="50">
        <v>85</v>
      </c>
      <c r="C87" s="51">
        <v>1</v>
      </c>
      <c r="D87" s="54">
        <f>+AFIRMACIONES!B114</f>
        <v>0</v>
      </c>
      <c r="E87" s="52"/>
      <c r="F87" s="53"/>
      <c r="G87" s="53"/>
      <c r="H87" s="53"/>
      <c r="I87" s="53"/>
      <c r="J87" s="53"/>
      <c r="K87" s="53"/>
      <c r="L87" s="53"/>
      <c r="M87" s="50">
        <v>184</v>
      </c>
      <c r="N87" s="51">
        <v>3</v>
      </c>
      <c r="O87" s="53"/>
      <c r="P87" s="53"/>
      <c r="Q87" s="54">
        <f>+AFIRMACIONES!B213</f>
        <v>0</v>
      </c>
      <c r="R87" s="53"/>
      <c r="S87" s="53"/>
      <c r="T87" s="53"/>
      <c r="U87" s="53"/>
      <c r="V87" s="53"/>
      <c r="W87" s="52"/>
      <c r="X87" s="70"/>
      <c r="Y87" s="71"/>
      <c r="Z87" s="450"/>
      <c r="AA87" s="451"/>
      <c r="AB87" s="451"/>
      <c r="AC87" s="451"/>
      <c r="AD87" s="451"/>
      <c r="AE87" s="451"/>
      <c r="AF87" s="452"/>
      <c r="AG87" s="476"/>
      <c r="AH87" s="59"/>
      <c r="AI87" s="57"/>
    </row>
    <row r="88" spans="2:38" ht="12.75" hidden="1" customHeight="1" x14ac:dyDescent="0.25">
      <c r="B88" s="50">
        <v>86</v>
      </c>
      <c r="C88" s="51">
        <v>4</v>
      </c>
      <c r="D88" s="53"/>
      <c r="E88" s="53"/>
      <c r="F88" s="53"/>
      <c r="G88" s="54">
        <f>+AFIRMACIONES!B115</f>
        <v>0</v>
      </c>
      <c r="H88" s="53"/>
      <c r="I88" s="53"/>
      <c r="J88" s="53"/>
      <c r="K88" s="53"/>
      <c r="L88" s="53"/>
      <c r="M88" s="50">
        <v>185</v>
      </c>
      <c r="N88" s="51">
        <v>1</v>
      </c>
      <c r="O88" s="54">
        <f>+AFIRMACIONES!B214</f>
        <v>0</v>
      </c>
      <c r="P88" s="52"/>
      <c r="Q88" s="53"/>
      <c r="R88" s="53"/>
      <c r="S88" s="53"/>
      <c r="T88" s="53"/>
      <c r="U88" s="53"/>
      <c r="V88" s="53"/>
      <c r="W88" s="52"/>
      <c r="X88" s="71"/>
      <c r="Y88" s="71"/>
      <c r="AB88" s="68"/>
      <c r="AD88" s="18"/>
      <c r="AG88" s="45"/>
      <c r="AH88" s="57"/>
      <c r="AI88" s="57"/>
      <c r="AJ88" s="18"/>
    </row>
    <row r="89" spans="2:38" ht="12.75" hidden="1" customHeight="1" x14ac:dyDescent="0.25">
      <c r="B89" s="50">
        <v>87</v>
      </c>
      <c r="C89" s="51">
        <v>2</v>
      </c>
      <c r="D89" s="52"/>
      <c r="E89" s="54">
        <f>+AFIRMACIONES!B116</f>
        <v>0</v>
      </c>
      <c r="F89" s="53"/>
      <c r="G89" s="53"/>
      <c r="H89" s="53"/>
      <c r="I89" s="53"/>
      <c r="J89" s="53"/>
      <c r="K89" s="52"/>
      <c r="L89" s="53"/>
      <c r="M89" s="50">
        <v>186</v>
      </c>
      <c r="N89" s="51">
        <v>5</v>
      </c>
      <c r="O89" s="53"/>
      <c r="P89" s="53"/>
      <c r="Q89" s="53"/>
      <c r="R89" s="53"/>
      <c r="S89" s="54">
        <f>+AFIRMACIONES!B215</f>
        <v>0</v>
      </c>
      <c r="T89" s="53"/>
      <c r="U89" s="53"/>
      <c r="V89" s="53"/>
      <c r="W89" s="52"/>
      <c r="X89" s="71"/>
      <c r="AB89" s="68"/>
      <c r="AD89" s="18"/>
      <c r="AG89" s="45"/>
      <c r="AH89" s="57"/>
      <c r="AI89" s="72"/>
      <c r="AJ89" s="72"/>
    </row>
    <row r="90" spans="2:38" ht="12.75" hidden="1" customHeight="1" x14ac:dyDescent="0.25">
      <c r="B90" s="50">
        <v>88</v>
      </c>
      <c r="C90" s="51">
        <v>9</v>
      </c>
      <c r="D90" s="52"/>
      <c r="E90" s="53"/>
      <c r="F90" s="53"/>
      <c r="G90" s="53"/>
      <c r="H90" s="53"/>
      <c r="I90" s="53"/>
      <c r="J90" s="53"/>
      <c r="K90" s="53"/>
      <c r="L90" s="54">
        <f>+AFIRMACIONES!B117</f>
        <v>0</v>
      </c>
      <c r="M90" s="50">
        <v>187</v>
      </c>
      <c r="N90" s="51">
        <v>4</v>
      </c>
      <c r="O90" s="53"/>
      <c r="P90" s="53"/>
      <c r="Q90" s="53"/>
      <c r="R90" s="54">
        <f>+AFIRMACIONES!B216</f>
        <v>0</v>
      </c>
      <c r="S90" s="53"/>
      <c r="T90" s="53"/>
      <c r="U90" s="53"/>
      <c r="V90" s="52"/>
      <c r="W90" s="52"/>
      <c r="X90" s="73">
        <f>+B179</f>
        <v>0</v>
      </c>
      <c r="Y90" s="17">
        <f t="shared" ref="Y90:Y98" si="5">+IF(X90&lt;0, 1,)</f>
        <v>0</v>
      </c>
      <c r="Z90" s="57">
        <v>1</v>
      </c>
      <c r="AA90" s="18" t="s">
        <v>425</v>
      </c>
      <c r="AB90" s="68"/>
      <c r="AD90" s="18"/>
      <c r="AG90" s="45"/>
      <c r="AH90" s="57"/>
      <c r="AI90" s="57"/>
      <c r="AJ90" s="71"/>
    </row>
    <row r="91" spans="2:38" ht="12.75" hidden="1" customHeight="1" x14ac:dyDescent="0.25">
      <c r="B91" s="50">
        <v>89</v>
      </c>
      <c r="C91" s="51">
        <v>7</v>
      </c>
      <c r="D91" s="53"/>
      <c r="E91" s="53"/>
      <c r="F91" s="53"/>
      <c r="G91" s="52"/>
      <c r="H91" s="53"/>
      <c r="I91" s="53"/>
      <c r="J91" s="54">
        <f>+AFIRMACIONES!B118</f>
        <v>0</v>
      </c>
      <c r="K91" s="53"/>
      <c r="L91" s="53"/>
      <c r="M91" s="50">
        <v>188</v>
      </c>
      <c r="N91" s="51">
        <v>7</v>
      </c>
      <c r="O91" s="53"/>
      <c r="P91" s="53"/>
      <c r="Q91" s="53"/>
      <c r="R91" s="53"/>
      <c r="S91" s="53"/>
      <c r="T91" s="53"/>
      <c r="U91" s="54">
        <f>+AFIRMACIONES!B217</f>
        <v>0</v>
      </c>
      <c r="V91" s="52"/>
      <c r="W91" s="52"/>
      <c r="X91" s="73">
        <f>+C179</f>
        <v>0</v>
      </c>
      <c r="Y91" s="17">
        <f t="shared" si="5"/>
        <v>0</v>
      </c>
      <c r="Z91" s="57">
        <v>2</v>
      </c>
      <c r="AA91" s="18" t="s">
        <v>426</v>
      </c>
      <c r="AB91" s="68"/>
      <c r="AD91" s="18"/>
      <c r="AG91" s="45"/>
      <c r="AH91" s="57"/>
      <c r="AI91" s="57"/>
      <c r="AJ91" s="71"/>
      <c r="AK91" s="70"/>
      <c r="AL91" s="71"/>
    </row>
    <row r="92" spans="2:38" ht="12.75" hidden="1" customHeight="1" x14ac:dyDescent="0.25">
      <c r="B92" s="50">
        <v>90</v>
      </c>
      <c r="C92" s="51">
        <v>8</v>
      </c>
      <c r="D92" s="53"/>
      <c r="E92" s="53"/>
      <c r="F92" s="53"/>
      <c r="G92" s="53"/>
      <c r="H92" s="53"/>
      <c r="I92" s="52"/>
      <c r="J92" s="53"/>
      <c r="K92" s="54">
        <f>+AFIRMACIONES!B119</f>
        <v>0</v>
      </c>
      <c r="L92" s="53"/>
      <c r="M92" s="50">
        <v>189</v>
      </c>
      <c r="N92" s="51">
        <v>6</v>
      </c>
      <c r="O92" s="53"/>
      <c r="P92" s="53"/>
      <c r="Q92" s="53"/>
      <c r="R92" s="52"/>
      <c r="S92" s="53"/>
      <c r="T92" s="54">
        <f>+AFIRMACIONES!B218</f>
        <v>0</v>
      </c>
      <c r="U92" s="53"/>
      <c r="V92" s="53"/>
      <c r="W92" s="53"/>
      <c r="X92" s="73">
        <f>+D179</f>
        <v>0</v>
      </c>
      <c r="Y92" s="17">
        <f t="shared" si="5"/>
        <v>0</v>
      </c>
      <c r="Z92" s="57">
        <v>3</v>
      </c>
      <c r="AA92" s="18" t="s">
        <v>427</v>
      </c>
      <c r="AB92" s="68"/>
      <c r="AD92" s="18"/>
      <c r="AG92" s="45"/>
      <c r="AH92" s="57"/>
      <c r="AI92" s="57"/>
      <c r="AJ92" s="71"/>
      <c r="AK92" s="70"/>
      <c r="AL92" s="71"/>
    </row>
    <row r="93" spans="2:38" ht="12.75" hidden="1" customHeight="1" x14ac:dyDescent="0.25">
      <c r="B93" s="50">
        <v>91</v>
      </c>
      <c r="C93" s="51">
        <v>5</v>
      </c>
      <c r="D93" s="53"/>
      <c r="E93" s="53"/>
      <c r="F93" s="53"/>
      <c r="G93" s="53"/>
      <c r="H93" s="54">
        <f>+AFIRMACIONES!B120</f>
        <v>0</v>
      </c>
      <c r="I93" s="52"/>
      <c r="J93" s="53"/>
      <c r="K93" s="53"/>
      <c r="L93" s="53"/>
      <c r="M93" s="50">
        <v>190</v>
      </c>
      <c r="N93" s="51">
        <v>5</v>
      </c>
      <c r="O93" s="53"/>
      <c r="P93" s="53"/>
      <c r="Q93" s="53"/>
      <c r="R93" s="52"/>
      <c r="S93" s="54">
        <f>+AFIRMACIONES!B219</f>
        <v>0</v>
      </c>
      <c r="T93" s="53"/>
      <c r="U93" s="53"/>
      <c r="V93" s="53"/>
      <c r="W93" s="53"/>
      <c r="X93" s="73">
        <f>+E179</f>
        <v>0</v>
      </c>
      <c r="Y93" s="17">
        <f t="shared" si="5"/>
        <v>0</v>
      </c>
      <c r="Z93" s="57">
        <v>4</v>
      </c>
      <c r="AA93" s="18" t="s">
        <v>428</v>
      </c>
      <c r="AB93" s="68"/>
      <c r="AI93" s="57"/>
      <c r="AJ93" s="68"/>
      <c r="AK93" s="70"/>
      <c r="AL93" s="71"/>
    </row>
    <row r="94" spans="2:38" ht="12.75" hidden="1" customHeight="1" x14ac:dyDescent="0.25">
      <c r="B94" s="50">
        <v>92</v>
      </c>
      <c r="C94" s="51">
        <v>7</v>
      </c>
      <c r="D94" s="53"/>
      <c r="E94" s="53"/>
      <c r="F94" s="53"/>
      <c r="G94" s="53"/>
      <c r="H94" s="53"/>
      <c r="I94" s="52"/>
      <c r="J94" s="54">
        <f>+AFIRMACIONES!B121</f>
        <v>0</v>
      </c>
      <c r="K94" s="53"/>
      <c r="L94" s="53"/>
      <c r="M94" s="50">
        <v>191</v>
      </c>
      <c r="N94" s="51">
        <v>6</v>
      </c>
      <c r="O94" s="53"/>
      <c r="P94" s="53"/>
      <c r="Q94" s="53"/>
      <c r="R94" s="52"/>
      <c r="S94" s="53"/>
      <c r="T94" s="54">
        <f>+AFIRMACIONES!B220</f>
        <v>0</v>
      </c>
      <c r="U94" s="53"/>
      <c r="V94" s="53"/>
      <c r="W94" s="53"/>
      <c r="X94" s="73">
        <f>+F179</f>
        <v>0</v>
      </c>
      <c r="Y94" s="17">
        <f t="shared" si="5"/>
        <v>0</v>
      </c>
      <c r="Z94" s="57">
        <v>5</v>
      </c>
      <c r="AA94" s="18" t="s">
        <v>429</v>
      </c>
      <c r="AD94" s="57"/>
      <c r="AE94" s="57"/>
      <c r="AF94" s="45"/>
      <c r="AG94" s="57"/>
      <c r="AH94" s="57"/>
      <c r="AI94" s="57"/>
      <c r="AJ94" s="68"/>
      <c r="AK94" s="70"/>
      <c r="AL94" s="71"/>
    </row>
    <row r="95" spans="2:38" ht="12.75" hidden="1" customHeight="1" x14ac:dyDescent="0.25">
      <c r="B95" s="50">
        <v>93</v>
      </c>
      <c r="C95" s="51">
        <v>9</v>
      </c>
      <c r="D95" s="53"/>
      <c r="E95" s="53"/>
      <c r="F95" s="53"/>
      <c r="G95" s="53"/>
      <c r="H95" s="53"/>
      <c r="I95" s="52"/>
      <c r="J95" s="53"/>
      <c r="K95" s="53"/>
      <c r="L95" s="54">
        <f>+AFIRMACIONES!B122</f>
        <v>0</v>
      </c>
      <c r="M95" s="50">
        <v>192</v>
      </c>
      <c r="N95" s="51">
        <v>2</v>
      </c>
      <c r="O95" s="53"/>
      <c r="P95" s="54">
        <f>+AFIRMACIONES!B221</f>
        <v>0</v>
      </c>
      <c r="Q95" s="53"/>
      <c r="R95" s="52"/>
      <c r="S95" s="53"/>
      <c r="T95" s="53"/>
      <c r="U95" s="53"/>
      <c r="V95" s="53"/>
      <c r="W95" s="53"/>
      <c r="X95" s="73">
        <f>+G179</f>
        <v>0</v>
      </c>
      <c r="Y95" s="17">
        <f t="shared" si="5"/>
        <v>0</v>
      </c>
      <c r="Z95" s="57">
        <v>6</v>
      </c>
      <c r="AA95" s="74" t="s">
        <v>430</v>
      </c>
      <c r="AD95" s="57"/>
      <c r="AE95" s="57"/>
      <c r="AF95" s="45"/>
      <c r="AG95" s="57"/>
      <c r="AH95" s="57"/>
      <c r="AI95" s="57"/>
      <c r="AJ95" s="68"/>
      <c r="AK95" s="70"/>
      <c r="AL95" s="71"/>
    </row>
    <row r="96" spans="2:38" ht="12.75" hidden="1" customHeight="1" x14ac:dyDescent="0.25">
      <c r="B96" s="50">
        <v>94</v>
      </c>
      <c r="C96" s="51">
        <v>6</v>
      </c>
      <c r="D96" s="53"/>
      <c r="E96" s="53"/>
      <c r="F96" s="53"/>
      <c r="G96" s="53"/>
      <c r="H96" s="53"/>
      <c r="I96" s="54">
        <f>+AFIRMACIONES!B123</f>
        <v>0</v>
      </c>
      <c r="J96" s="53"/>
      <c r="K96" s="53"/>
      <c r="L96" s="53"/>
      <c r="M96" s="50">
        <v>193</v>
      </c>
      <c r="N96" s="51">
        <v>7</v>
      </c>
      <c r="O96" s="53"/>
      <c r="P96" s="53"/>
      <c r="Q96" s="53"/>
      <c r="R96" s="52"/>
      <c r="S96" s="53"/>
      <c r="T96" s="53"/>
      <c r="U96" s="54">
        <f>+AFIRMACIONES!B222</f>
        <v>0</v>
      </c>
      <c r="V96" s="53"/>
      <c r="W96" s="53"/>
      <c r="X96" s="73">
        <f>+H179</f>
        <v>0</v>
      </c>
      <c r="Y96" s="17">
        <f t="shared" si="5"/>
        <v>0</v>
      </c>
      <c r="Z96" s="57">
        <v>7</v>
      </c>
      <c r="AA96" s="74" t="s">
        <v>431</v>
      </c>
      <c r="AD96" s="57"/>
      <c r="AE96" s="57"/>
      <c r="AF96" s="45"/>
      <c r="AG96" s="57"/>
      <c r="AH96" s="57"/>
      <c r="AI96" s="57"/>
      <c r="AJ96" s="68"/>
      <c r="AK96" s="75"/>
      <c r="AL96" s="71"/>
    </row>
    <row r="97" spans="2:38" ht="12.75" hidden="1" customHeight="1" x14ac:dyDescent="0.25">
      <c r="B97" s="50">
        <v>95</v>
      </c>
      <c r="C97" s="51">
        <v>8</v>
      </c>
      <c r="D97" s="53"/>
      <c r="E97" s="53"/>
      <c r="F97" s="53"/>
      <c r="G97" s="53"/>
      <c r="H97" s="53"/>
      <c r="I97" s="52"/>
      <c r="J97" s="53"/>
      <c r="K97" s="54">
        <f>+AFIRMACIONES!B124</f>
        <v>0</v>
      </c>
      <c r="L97" s="53"/>
      <c r="M97" s="50">
        <v>194</v>
      </c>
      <c r="N97" s="51">
        <v>3</v>
      </c>
      <c r="O97" s="53"/>
      <c r="P97" s="53"/>
      <c r="Q97" s="54">
        <f>+AFIRMACIONES!B223</f>
        <v>0</v>
      </c>
      <c r="R97" s="52"/>
      <c r="S97" s="53"/>
      <c r="T97" s="53"/>
      <c r="U97" s="53"/>
      <c r="V97" s="53"/>
      <c r="W97" s="53"/>
      <c r="X97" s="73">
        <f>+I179</f>
        <v>0</v>
      </c>
      <c r="Y97" s="17">
        <f t="shared" si="5"/>
        <v>0</v>
      </c>
      <c r="Z97" s="57">
        <v>8</v>
      </c>
      <c r="AA97" s="74" t="s">
        <v>432</v>
      </c>
      <c r="AD97" s="57"/>
      <c r="AE97" s="57"/>
      <c r="AF97" s="45"/>
      <c r="AG97" s="57"/>
      <c r="AH97" s="57"/>
      <c r="AI97" s="57"/>
      <c r="AJ97" s="68"/>
      <c r="AK97" s="75"/>
      <c r="AL97" s="71"/>
    </row>
    <row r="98" spans="2:38" ht="12.75" hidden="1" customHeight="1" x14ac:dyDescent="0.25">
      <c r="B98" s="50">
        <v>96</v>
      </c>
      <c r="C98" s="51">
        <v>3</v>
      </c>
      <c r="D98" s="53"/>
      <c r="E98" s="53"/>
      <c r="F98" s="54">
        <f>+AFIRMACIONES!B125</f>
        <v>0</v>
      </c>
      <c r="G98" s="53"/>
      <c r="H98" s="53"/>
      <c r="I98" s="52"/>
      <c r="J98" s="53"/>
      <c r="K98" s="53"/>
      <c r="L98" s="53"/>
      <c r="M98" s="50">
        <v>195</v>
      </c>
      <c r="N98" s="51">
        <v>9</v>
      </c>
      <c r="O98" s="53"/>
      <c r="P98" s="53"/>
      <c r="Q98" s="53"/>
      <c r="R98" s="52"/>
      <c r="S98" s="53"/>
      <c r="T98" s="53"/>
      <c r="U98" s="53"/>
      <c r="V98" s="53"/>
      <c r="W98" s="54">
        <f>+AFIRMACIONES!B224</f>
        <v>0</v>
      </c>
      <c r="X98" s="73">
        <f>+J179</f>
        <v>0</v>
      </c>
      <c r="Y98" s="17">
        <f t="shared" si="5"/>
        <v>0</v>
      </c>
      <c r="Z98" s="57">
        <v>9</v>
      </c>
      <c r="AA98" s="74" t="s">
        <v>433</v>
      </c>
      <c r="AC98" s="57"/>
      <c r="AD98" s="57"/>
      <c r="AE98" s="57"/>
      <c r="AF98" s="45"/>
      <c r="AG98" s="57"/>
      <c r="AH98" s="57"/>
      <c r="AI98" s="57"/>
    </row>
    <row r="99" spans="2:38" ht="12.75" hidden="1" customHeight="1" x14ac:dyDescent="0.25">
      <c r="B99" s="50">
        <v>97</v>
      </c>
      <c r="C99" s="51">
        <v>1</v>
      </c>
      <c r="D99" s="54">
        <f>+AFIRMACIONES!B126</f>
        <v>0</v>
      </c>
      <c r="E99" s="53"/>
      <c r="F99" s="53"/>
      <c r="G99" s="53"/>
      <c r="H99" s="53"/>
      <c r="I99" s="52"/>
      <c r="J99" s="53"/>
      <c r="K99" s="53"/>
      <c r="L99" s="53"/>
      <c r="M99" s="50">
        <v>196</v>
      </c>
      <c r="N99" s="51">
        <v>4</v>
      </c>
      <c r="O99" s="53"/>
      <c r="P99" s="53"/>
      <c r="Q99" s="53"/>
      <c r="R99" s="54">
        <f>+AFIRMACIONES!B225</f>
        <v>0</v>
      </c>
      <c r="S99" s="53"/>
      <c r="T99" s="53"/>
      <c r="U99" s="53"/>
      <c r="V99" s="53"/>
      <c r="W99" s="53"/>
      <c r="X99" s="76"/>
      <c r="Y99" s="76"/>
      <c r="Z99" s="57"/>
      <c r="AA99" s="57"/>
      <c r="AB99" s="45"/>
      <c r="AC99" s="57"/>
      <c r="AD99" s="57"/>
      <c r="AE99" s="57"/>
      <c r="AF99" s="45"/>
      <c r="AG99" s="57"/>
      <c r="AH99" s="57"/>
      <c r="AI99" s="57"/>
    </row>
    <row r="100" spans="2:38" ht="12.75" hidden="1" customHeight="1" x14ac:dyDescent="0.25">
      <c r="B100" s="50">
        <v>98</v>
      </c>
      <c r="C100" s="51">
        <v>2</v>
      </c>
      <c r="D100" s="52"/>
      <c r="E100" s="54">
        <f>+AFIRMACIONES!B127</f>
        <v>0</v>
      </c>
      <c r="F100" s="53"/>
      <c r="G100" s="53"/>
      <c r="H100" s="53"/>
      <c r="I100" s="52"/>
      <c r="J100" s="53"/>
      <c r="K100" s="53"/>
      <c r="L100" s="53"/>
      <c r="M100" s="50">
        <v>197</v>
      </c>
      <c r="N100" s="51">
        <v>1</v>
      </c>
      <c r="O100" s="54">
        <f>+AFIRMACIONES!B226</f>
        <v>0</v>
      </c>
      <c r="P100" s="53"/>
      <c r="Q100" s="53"/>
      <c r="R100" s="52"/>
      <c r="S100" s="53"/>
      <c r="T100" s="53"/>
      <c r="U100" s="53"/>
      <c r="V100" s="53"/>
      <c r="W100" s="53"/>
      <c r="X100" s="76"/>
      <c r="Y100" s="76"/>
      <c r="Z100" s="57"/>
      <c r="AA100" s="57"/>
      <c r="AB100" s="45"/>
      <c r="AC100" s="57"/>
      <c r="AD100" s="57"/>
      <c r="AE100" s="57"/>
      <c r="AF100" s="45"/>
      <c r="AG100" s="57"/>
      <c r="AH100" s="57"/>
      <c r="AI100" s="57"/>
    </row>
    <row r="101" spans="2:38" ht="12.75" hidden="1" customHeight="1" x14ac:dyDescent="0.25">
      <c r="B101" s="50">
        <v>99</v>
      </c>
      <c r="C101" s="51">
        <v>4</v>
      </c>
      <c r="D101" s="53"/>
      <c r="E101" s="53"/>
      <c r="F101" s="53"/>
      <c r="G101" s="54">
        <f>+AFIRMACIONES!B128</f>
        <v>0</v>
      </c>
      <c r="H101" s="53"/>
      <c r="I101" s="52"/>
      <c r="J101" s="53"/>
      <c r="K101" s="53"/>
      <c r="L101" s="53"/>
      <c r="M101" s="50">
        <v>198</v>
      </c>
      <c r="N101" s="51">
        <v>8</v>
      </c>
      <c r="O101" s="53"/>
      <c r="P101" s="53"/>
      <c r="Q101" s="53"/>
      <c r="R101" s="52"/>
      <c r="S101" s="53"/>
      <c r="T101" s="53"/>
      <c r="U101" s="53"/>
      <c r="V101" s="54">
        <f>+AFIRMACIONES!B227</f>
        <v>0</v>
      </c>
      <c r="W101" s="53"/>
      <c r="X101" s="76"/>
      <c r="Y101" s="76"/>
      <c r="Z101" s="57"/>
      <c r="AA101" s="57"/>
      <c r="AB101" s="45"/>
      <c r="AC101" s="57"/>
      <c r="AD101" s="57"/>
      <c r="AE101" s="57"/>
      <c r="AF101" s="45"/>
      <c r="AG101" s="57"/>
      <c r="AH101" s="57"/>
      <c r="AI101" s="57"/>
    </row>
    <row r="102" spans="2:38" ht="12.75" hidden="1" customHeight="1" x14ac:dyDescent="0.25">
      <c r="B102" s="478" t="s">
        <v>434</v>
      </c>
      <c r="C102" s="388"/>
      <c r="D102" s="60">
        <f t="shared" ref="D102:L102" si="6">SUM(D3:D101)</f>
        <v>0</v>
      </c>
      <c r="E102" s="60">
        <f t="shared" si="6"/>
        <v>0</v>
      </c>
      <c r="F102" s="60">
        <f t="shared" si="6"/>
        <v>0</v>
      </c>
      <c r="G102" s="60">
        <f t="shared" si="6"/>
        <v>0</v>
      </c>
      <c r="H102" s="60">
        <f t="shared" si="6"/>
        <v>0</v>
      </c>
      <c r="I102" s="60">
        <f t="shared" si="6"/>
        <v>0</v>
      </c>
      <c r="J102" s="60">
        <f t="shared" si="6"/>
        <v>0</v>
      </c>
      <c r="K102" s="60">
        <f t="shared" si="6"/>
        <v>0</v>
      </c>
      <c r="L102" s="60">
        <f t="shared" si="6"/>
        <v>0</v>
      </c>
      <c r="M102" s="478" t="s">
        <v>435</v>
      </c>
      <c r="N102" s="388"/>
      <c r="O102" s="60">
        <f t="shared" ref="O102:W102" si="7">SUM(O3:O101)</f>
        <v>0</v>
      </c>
      <c r="P102" s="60">
        <f t="shared" si="7"/>
        <v>0</v>
      </c>
      <c r="Q102" s="60">
        <f t="shared" si="7"/>
        <v>0</v>
      </c>
      <c r="R102" s="60">
        <f t="shared" si="7"/>
        <v>0</v>
      </c>
      <c r="S102" s="60">
        <f t="shared" si="7"/>
        <v>0</v>
      </c>
      <c r="T102" s="60">
        <f t="shared" si="7"/>
        <v>0</v>
      </c>
      <c r="U102" s="60">
        <f t="shared" si="7"/>
        <v>0</v>
      </c>
      <c r="V102" s="60">
        <f t="shared" si="7"/>
        <v>0</v>
      </c>
      <c r="W102" s="60">
        <f t="shared" si="7"/>
        <v>0</v>
      </c>
      <c r="X102" s="61"/>
      <c r="AB102" s="68"/>
      <c r="AD102" s="18"/>
      <c r="AG102" s="45"/>
      <c r="AH102" s="57"/>
      <c r="AI102" s="57"/>
    </row>
    <row r="103" spans="2:38" ht="12.75" hidden="1" customHeight="1" x14ac:dyDescent="0.25">
      <c r="M103" s="61"/>
      <c r="O103" s="71"/>
      <c r="P103" s="71"/>
      <c r="Q103" s="71"/>
      <c r="R103" s="71"/>
      <c r="S103" s="71"/>
      <c r="T103" s="71"/>
      <c r="U103" s="71"/>
      <c r="AB103" s="68"/>
      <c r="AD103" s="71"/>
      <c r="AE103" s="71"/>
      <c r="AF103" s="71"/>
      <c r="AG103" s="77"/>
      <c r="AH103" s="59"/>
      <c r="AI103" s="57"/>
    </row>
    <row r="104" spans="2:38" ht="37.5" hidden="1" customHeight="1" x14ac:dyDescent="0.25">
      <c r="B104" s="432" t="s">
        <v>436</v>
      </c>
      <c r="C104" s="368"/>
      <c r="D104" s="368"/>
      <c r="E104" s="433"/>
      <c r="F104" s="442">
        <f>+F167</f>
        <v>0</v>
      </c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  <c r="R104" s="433"/>
      <c r="T104" s="78"/>
      <c r="U104" s="78"/>
      <c r="V104" s="78"/>
      <c r="AB104" s="68"/>
      <c r="AD104" s="71"/>
      <c r="AE104" s="71"/>
      <c r="AF104" s="71"/>
      <c r="AG104" s="77"/>
      <c r="AH104" s="59"/>
      <c r="AI104" s="57"/>
    </row>
    <row r="105" spans="2:38" ht="12.75" hidden="1" customHeight="1" x14ac:dyDescent="0.25">
      <c r="B105" s="61"/>
      <c r="M105" s="61"/>
      <c r="O105" s="71"/>
      <c r="P105" s="71"/>
      <c r="Q105" s="79" t="s">
        <v>437</v>
      </c>
      <c r="R105" s="485">
        <f>+M168</f>
        <v>0</v>
      </c>
      <c r="S105" s="433"/>
      <c r="T105" s="71"/>
      <c r="AB105" s="68"/>
      <c r="AD105" s="71"/>
      <c r="AE105" s="71"/>
      <c r="AF105" s="71"/>
      <c r="AG105" s="77"/>
      <c r="AH105" s="59"/>
      <c r="AI105" s="57"/>
    </row>
    <row r="106" spans="2:38" ht="12.75" hidden="1" customHeight="1" x14ac:dyDescent="0.25">
      <c r="B106" s="61"/>
      <c r="M106" s="61"/>
      <c r="O106" s="71"/>
      <c r="P106" s="71"/>
      <c r="Q106" s="71"/>
      <c r="R106" s="71"/>
      <c r="S106" s="71"/>
      <c r="T106" s="71"/>
      <c r="AB106" s="68"/>
      <c r="AD106" s="71"/>
      <c r="AE106" s="71"/>
      <c r="AF106" s="71"/>
      <c r="AG106" s="77"/>
      <c r="AH106" s="59"/>
      <c r="AI106" s="57"/>
    </row>
    <row r="107" spans="2:38" ht="12.75" hidden="1" customHeight="1" x14ac:dyDescent="0.25">
      <c r="B107" s="545" t="s">
        <v>525</v>
      </c>
      <c r="C107" s="361"/>
      <c r="D107" s="361"/>
      <c r="E107" s="361"/>
      <c r="F107" s="361"/>
      <c r="G107" s="361"/>
      <c r="H107" s="361"/>
      <c r="I107" s="361"/>
      <c r="J107" s="361"/>
      <c r="K107" s="361"/>
      <c r="L107" s="361"/>
      <c r="M107" s="361"/>
      <c r="N107" s="361"/>
      <c r="O107" s="361"/>
      <c r="P107" s="361"/>
      <c r="Q107" s="361"/>
      <c r="R107" s="361"/>
      <c r="S107" s="361"/>
      <c r="T107" s="388"/>
      <c r="X107" s="61"/>
      <c r="AB107" s="68"/>
      <c r="AD107" s="18"/>
      <c r="AG107" s="45"/>
      <c r="AH107" s="57"/>
      <c r="AI107" s="57"/>
    </row>
    <row r="108" spans="2:38" ht="12.75" hidden="1" customHeight="1" x14ac:dyDescent="0.25">
      <c r="B108" s="61"/>
      <c r="M108" s="61"/>
      <c r="X108" s="61"/>
      <c r="AB108" s="68"/>
      <c r="AD108" s="18"/>
      <c r="AG108" s="45"/>
      <c r="AH108" s="57"/>
      <c r="AI108" s="57"/>
    </row>
    <row r="109" spans="2:38" ht="12.75" hidden="1" customHeight="1" x14ac:dyDescent="0.35">
      <c r="B109" s="487" t="s">
        <v>439</v>
      </c>
      <c r="C109" s="361"/>
      <c r="D109" s="80">
        <f>(MAX($B$170:$J$170)+MIN($B$170:$J$170))/2</f>
        <v>0</v>
      </c>
      <c r="M109" s="61"/>
      <c r="O109" s="306" t="s">
        <v>474</v>
      </c>
      <c r="P109" s="132"/>
      <c r="Q109" s="132"/>
      <c r="R109" s="132"/>
      <c r="S109" s="132"/>
      <c r="T109" s="132"/>
      <c r="X109" s="61"/>
      <c r="AB109" s="68"/>
      <c r="AD109" s="18"/>
      <c r="AG109" s="45"/>
      <c r="AH109" s="57"/>
      <c r="AI109" s="57"/>
    </row>
    <row r="110" spans="2:38" ht="12.75" hidden="1" customHeight="1" x14ac:dyDescent="0.35">
      <c r="B110" s="61"/>
      <c r="M110" s="61"/>
      <c r="O110" s="307">
        <v>9.16</v>
      </c>
      <c r="P110" s="81"/>
      <c r="Q110" s="81"/>
      <c r="R110" s="81"/>
      <c r="S110" s="81"/>
      <c r="T110" s="81"/>
      <c r="AB110" s="68"/>
      <c r="AD110" s="71"/>
      <c r="AE110" s="71"/>
      <c r="AF110" s="71"/>
      <c r="AG110" s="77"/>
      <c r="AH110" s="59"/>
      <c r="AI110" s="57"/>
    </row>
    <row r="111" spans="2:38" ht="12.75" hidden="1" customHeight="1" x14ac:dyDescent="0.25">
      <c r="B111" s="61"/>
      <c r="M111" s="61"/>
      <c r="O111" s="546" t="s">
        <v>476</v>
      </c>
      <c r="P111" s="446"/>
      <c r="Q111" s="446"/>
      <c r="R111" s="547" t="s">
        <v>477</v>
      </c>
      <c r="S111" s="446"/>
      <c r="T111" s="446"/>
      <c r="AB111" s="68"/>
      <c r="AD111" s="71"/>
      <c r="AE111" s="71"/>
      <c r="AF111" s="71"/>
      <c r="AG111" s="77"/>
      <c r="AH111" s="59"/>
      <c r="AI111" s="57"/>
    </row>
    <row r="112" spans="2:38" ht="12.75" hidden="1" customHeight="1" x14ac:dyDescent="0.25">
      <c r="B112" s="61"/>
      <c r="M112" s="61"/>
      <c r="O112" s="548" t="s">
        <v>480</v>
      </c>
      <c r="P112" s="446"/>
      <c r="Q112" s="446"/>
      <c r="R112" s="446"/>
      <c r="S112" s="446"/>
      <c r="T112" s="446"/>
      <c r="AB112" s="68"/>
      <c r="AD112" s="71"/>
      <c r="AE112" s="71"/>
      <c r="AF112" s="71"/>
      <c r="AG112" s="77"/>
      <c r="AH112" s="59"/>
      <c r="AI112" s="57"/>
    </row>
    <row r="113" spans="2:35" ht="12.75" hidden="1" customHeight="1" x14ac:dyDescent="0.25">
      <c r="B113" s="61"/>
      <c r="M113" s="61"/>
      <c r="O113" s="523" t="s">
        <v>483</v>
      </c>
      <c r="P113" s="446"/>
      <c r="Q113" s="446"/>
      <c r="R113" s="446"/>
      <c r="S113" s="446"/>
      <c r="T113" s="446"/>
      <c r="AB113" s="68"/>
      <c r="AD113" s="71"/>
      <c r="AE113" s="71"/>
      <c r="AF113" s="71"/>
      <c r="AG113" s="77"/>
      <c r="AH113" s="59"/>
      <c r="AI113" s="57"/>
    </row>
    <row r="114" spans="2:35" ht="12.75" hidden="1" customHeight="1" x14ac:dyDescent="0.25">
      <c r="B114" s="61"/>
      <c r="M114" s="61"/>
      <c r="O114" s="71"/>
      <c r="P114" s="71"/>
      <c r="Q114" s="71"/>
      <c r="R114" s="71"/>
      <c r="S114" s="71"/>
      <c r="T114" s="71"/>
      <c r="AB114" s="68"/>
      <c r="AD114" s="71"/>
      <c r="AE114" s="71"/>
      <c r="AF114" s="71"/>
      <c r="AG114" s="77"/>
      <c r="AH114" s="59"/>
      <c r="AI114" s="57"/>
    </row>
    <row r="115" spans="2:35" ht="12.75" hidden="1" customHeight="1" x14ac:dyDescent="0.25">
      <c r="B115" s="61"/>
      <c r="M115" s="61"/>
      <c r="O115" s="71"/>
      <c r="P115" s="71"/>
      <c r="Q115" s="71"/>
      <c r="R115" s="71"/>
      <c r="S115" s="71"/>
      <c r="T115" s="71"/>
      <c r="AB115" s="68"/>
      <c r="AD115" s="71"/>
      <c r="AE115" s="71"/>
      <c r="AF115" s="71"/>
      <c r="AG115" s="77"/>
      <c r="AH115" s="59"/>
      <c r="AI115" s="57"/>
    </row>
    <row r="116" spans="2:35" ht="12.75" hidden="1" customHeight="1" x14ac:dyDescent="0.25">
      <c r="B116" s="61"/>
      <c r="M116" s="61"/>
      <c r="O116" s="71"/>
      <c r="P116" s="71"/>
      <c r="Q116" s="71"/>
      <c r="R116" s="71"/>
      <c r="S116" s="71"/>
      <c r="T116" s="71"/>
      <c r="AB116" s="68"/>
      <c r="AD116" s="71"/>
      <c r="AE116" s="71"/>
      <c r="AF116" s="71"/>
      <c r="AG116" s="77"/>
      <c r="AH116" s="59"/>
      <c r="AI116" s="57"/>
    </row>
    <row r="117" spans="2:35" ht="12.75" hidden="1" customHeight="1" x14ac:dyDescent="0.25">
      <c r="B117" s="61"/>
      <c r="M117" s="61"/>
      <c r="O117" s="71"/>
      <c r="P117" s="71"/>
      <c r="Q117" s="71"/>
      <c r="R117" s="71"/>
      <c r="S117" s="71"/>
      <c r="T117" s="71"/>
      <c r="AB117" s="68"/>
      <c r="AD117" s="71"/>
      <c r="AE117" s="71"/>
      <c r="AF117" s="71"/>
      <c r="AG117" s="77"/>
      <c r="AH117" s="59"/>
      <c r="AI117" s="57"/>
    </row>
    <row r="118" spans="2:35" ht="12.75" hidden="1" customHeight="1" x14ac:dyDescent="0.25">
      <c r="B118" s="61"/>
      <c r="M118" s="61"/>
      <c r="X118" s="61"/>
      <c r="AB118" s="68"/>
      <c r="AD118" s="18"/>
      <c r="AG118" s="45"/>
      <c r="AH118" s="57"/>
      <c r="AI118" s="57"/>
    </row>
    <row r="119" spans="2:35" ht="12.75" hidden="1" customHeight="1" x14ac:dyDescent="0.25">
      <c r="B119" s="61"/>
      <c r="M119" s="61"/>
      <c r="X119" s="61"/>
      <c r="AB119" s="68"/>
      <c r="AD119" s="18"/>
      <c r="AG119" s="45"/>
      <c r="AH119" s="57"/>
      <c r="AI119" s="57"/>
    </row>
    <row r="120" spans="2:35" ht="12.75" hidden="1" customHeight="1" x14ac:dyDescent="0.25">
      <c r="B120" s="61"/>
      <c r="M120" s="61"/>
      <c r="X120" s="61"/>
      <c r="AB120" s="68"/>
      <c r="AD120" s="18"/>
      <c r="AG120" s="45"/>
      <c r="AH120" s="57"/>
      <c r="AI120" s="57"/>
    </row>
    <row r="121" spans="2:35" ht="12.75" hidden="1" customHeight="1" x14ac:dyDescent="0.25">
      <c r="B121" s="61"/>
      <c r="M121" s="61"/>
      <c r="X121" s="61"/>
      <c r="AB121" s="68"/>
      <c r="AD121" s="18"/>
      <c r="AG121" s="45"/>
      <c r="AH121" s="57"/>
      <c r="AI121" s="57"/>
    </row>
    <row r="122" spans="2:35" ht="12.75" hidden="1" customHeight="1" x14ac:dyDescent="0.25">
      <c r="B122" s="61"/>
      <c r="M122" s="61"/>
      <c r="X122" s="61"/>
      <c r="AB122" s="68"/>
      <c r="AD122" s="18"/>
      <c r="AG122" s="45"/>
      <c r="AH122" s="57"/>
      <c r="AI122" s="57"/>
    </row>
    <row r="123" spans="2:35" ht="12.75" hidden="1" customHeight="1" x14ac:dyDescent="0.25">
      <c r="B123" s="61"/>
      <c r="M123" s="61"/>
      <c r="O123" s="71"/>
      <c r="P123" s="71"/>
      <c r="Q123" s="71"/>
      <c r="R123" s="71"/>
      <c r="S123" s="71"/>
      <c r="T123" s="71"/>
      <c r="AB123" s="68"/>
      <c r="AD123" s="71"/>
      <c r="AE123" s="71"/>
      <c r="AF123" s="71"/>
      <c r="AG123" s="77"/>
      <c r="AH123" s="59"/>
      <c r="AI123" s="57"/>
    </row>
    <row r="124" spans="2:35" ht="12.75" hidden="1" customHeight="1" x14ac:dyDescent="0.25">
      <c r="B124" s="61"/>
      <c r="M124" s="61"/>
      <c r="O124" s="71"/>
      <c r="P124" s="71"/>
      <c r="Q124" s="71"/>
      <c r="R124" s="71"/>
      <c r="S124" s="71"/>
      <c r="T124" s="71"/>
      <c r="AB124" s="68"/>
      <c r="AD124" s="71"/>
      <c r="AE124" s="71"/>
      <c r="AF124" s="71"/>
      <c r="AG124" s="77"/>
      <c r="AH124" s="59"/>
      <c r="AI124" s="57"/>
    </row>
    <row r="125" spans="2:35" ht="12.75" hidden="1" customHeight="1" x14ac:dyDescent="0.25">
      <c r="B125" s="61"/>
      <c r="M125" s="61"/>
      <c r="O125" s="71"/>
      <c r="P125" s="71"/>
      <c r="Q125" s="71"/>
      <c r="R125" s="71"/>
      <c r="S125" s="71"/>
      <c r="T125" s="71"/>
      <c r="AB125" s="68"/>
      <c r="AD125" s="71"/>
      <c r="AE125" s="71"/>
      <c r="AF125" s="71"/>
      <c r="AG125" s="77"/>
      <c r="AH125" s="59"/>
      <c r="AI125" s="57"/>
    </row>
    <row r="126" spans="2:35" ht="12.75" hidden="1" customHeight="1" x14ac:dyDescent="0.25">
      <c r="B126" s="61"/>
      <c r="M126" s="61"/>
      <c r="AB126" s="68"/>
      <c r="AD126" s="18"/>
      <c r="AG126" s="45"/>
      <c r="AH126" s="57"/>
      <c r="AI126" s="57"/>
    </row>
    <row r="127" spans="2:35" ht="12.75" hidden="1" customHeight="1" x14ac:dyDescent="0.25">
      <c r="B127" s="61"/>
      <c r="M127" s="61"/>
      <c r="AB127" s="68"/>
      <c r="AD127" s="18"/>
      <c r="AG127" s="45"/>
      <c r="AH127" s="57"/>
      <c r="AI127" s="57"/>
    </row>
    <row r="128" spans="2:35" ht="12.75" hidden="1" customHeight="1" x14ac:dyDescent="0.25">
      <c r="B128" s="61"/>
      <c r="M128" s="61"/>
      <c r="X128" s="61"/>
      <c r="AB128" s="68"/>
      <c r="AD128" s="18"/>
      <c r="AG128" s="45"/>
      <c r="AH128" s="57"/>
      <c r="AI128" s="57"/>
    </row>
    <row r="129" spans="2:35" ht="12.75" hidden="1" customHeight="1" x14ac:dyDescent="0.25">
      <c r="B129" s="61"/>
      <c r="M129" s="61"/>
      <c r="X129" s="61"/>
      <c r="AB129" s="68"/>
      <c r="AD129" s="18"/>
      <c r="AG129" s="45"/>
      <c r="AH129" s="57"/>
      <c r="AI129" s="57"/>
    </row>
    <row r="130" spans="2:35" ht="12.75" hidden="1" customHeight="1" x14ac:dyDescent="0.25">
      <c r="B130" s="61"/>
      <c r="K130" s="82">
        <f>+J170</f>
        <v>0</v>
      </c>
      <c r="M130" s="61"/>
      <c r="X130" s="61"/>
      <c r="AB130" s="68"/>
      <c r="AD130" s="18"/>
      <c r="AG130" s="45"/>
      <c r="AH130" s="57"/>
      <c r="AI130" s="57"/>
    </row>
    <row r="131" spans="2:35" ht="12.75" hidden="1" customHeight="1" x14ac:dyDescent="0.25">
      <c r="B131" s="61"/>
      <c r="M131" s="61"/>
      <c r="X131" s="61"/>
      <c r="AB131" s="68"/>
      <c r="AD131" s="18"/>
      <c r="AG131" s="45"/>
      <c r="AH131" s="57"/>
      <c r="AI131" s="57"/>
    </row>
    <row r="132" spans="2:35" ht="12.75" hidden="1" customHeight="1" x14ac:dyDescent="0.25">
      <c r="B132" s="61"/>
      <c r="M132" s="61"/>
      <c r="X132" s="61"/>
      <c r="AB132" s="68"/>
      <c r="AD132" s="18"/>
      <c r="AG132" s="45"/>
      <c r="AH132" s="57"/>
      <c r="AI132" s="57"/>
    </row>
    <row r="133" spans="2:35" ht="12.75" hidden="1" customHeight="1" x14ac:dyDescent="0.25">
      <c r="B133" s="61"/>
      <c r="M133" s="61"/>
      <c r="X133" s="61"/>
      <c r="AB133" s="68"/>
      <c r="AD133" s="18"/>
      <c r="AG133" s="45"/>
      <c r="AH133" s="57"/>
      <c r="AI133" s="57"/>
    </row>
    <row r="134" spans="2:35" ht="12.75" hidden="1" customHeight="1" x14ac:dyDescent="0.25">
      <c r="B134" s="61"/>
      <c r="M134" s="61"/>
      <c r="X134" s="61"/>
      <c r="AB134" s="68"/>
      <c r="AD134" s="18"/>
      <c r="AG134" s="45"/>
      <c r="AH134" s="57"/>
      <c r="AI134" s="57"/>
    </row>
    <row r="135" spans="2:35" ht="12.75" hidden="1" customHeight="1" x14ac:dyDescent="0.25">
      <c r="B135" s="61"/>
      <c r="M135" s="61"/>
      <c r="X135" s="61"/>
      <c r="AB135" s="68"/>
      <c r="AD135" s="18"/>
      <c r="AG135" s="45"/>
      <c r="AH135" s="57"/>
      <c r="AI135" s="57"/>
    </row>
    <row r="136" spans="2:35" ht="12.75" hidden="1" customHeight="1" x14ac:dyDescent="0.25">
      <c r="B136" s="61"/>
      <c r="E136" s="82">
        <f>+I170</f>
        <v>0</v>
      </c>
      <c r="M136" s="61"/>
      <c r="Q136" s="82">
        <f>+B170</f>
        <v>0</v>
      </c>
      <c r="X136" s="61"/>
      <c r="AB136" s="68"/>
      <c r="AD136" s="18"/>
      <c r="AG136" s="45"/>
      <c r="AH136" s="57"/>
      <c r="AI136" s="57"/>
    </row>
    <row r="137" spans="2:35" ht="12.75" hidden="1" customHeight="1" x14ac:dyDescent="0.25">
      <c r="B137" s="61"/>
      <c r="M137" s="61"/>
      <c r="X137" s="61"/>
      <c r="AB137" s="68"/>
      <c r="AD137" s="18"/>
      <c r="AG137" s="45"/>
      <c r="AH137" s="57"/>
      <c r="AI137" s="57"/>
    </row>
    <row r="138" spans="2:35" ht="12.75" hidden="1" customHeight="1" x14ac:dyDescent="0.25">
      <c r="B138" s="61"/>
      <c r="M138" s="61"/>
      <c r="X138" s="61"/>
      <c r="AB138" s="68"/>
      <c r="AD138" s="18"/>
      <c r="AG138" s="45"/>
      <c r="AH138" s="57"/>
      <c r="AI138" s="57"/>
    </row>
    <row r="139" spans="2:35" ht="12.75" hidden="1" customHeight="1" x14ac:dyDescent="0.25">
      <c r="B139" s="61"/>
      <c r="M139" s="61"/>
      <c r="X139" s="61"/>
      <c r="AB139" s="68"/>
      <c r="AD139" s="18"/>
      <c r="AG139" s="45"/>
      <c r="AH139" s="57"/>
      <c r="AI139" s="57"/>
    </row>
    <row r="140" spans="2:35" ht="12.75" hidden="1" customHeight="1" x14ac:dyDescent="0.25">
      <c r="B140" s="61"/>
      <c r="M140" s="61"/>
      <c r="X140" s="61"/>
      <c r="AB140" s="68"/>
      <c r="AD140" s="18"/>
      <c r="AG140" s="45"/>
      <c r="AH140" s="57"/>
      <c r="AI140" s="57"/>
    </row>
    <row r="141" spans="2:35" ht="12.75" hidden="1" customHeight="1" x14ac:dyDescent="0.25">
      <c r="B141" s="61"/>
      <c r="M141" s="61"/>
      <c r="X141" s="61"/>
      <c r="AB141" s="68"/>
      <c r="AD141" s="18"/>
      <c r="AG141" s="45"/>
      <c r="AH141" s="57"/>
      <c r="AI141" s="57"/>
    </row>
    <row r="142" spans="2:35" ht="12.75" hidden="1" customHeight="1" x14ac:dyDescent="0.25">
      <c r="B142" s="61"/>
      <c r="M142" s="61"/>
      <c r="X142" s="61"/>
      <c r="AB142" s="68"/>
      <c r="AD142" s="18"/>
      <c r="AG142" s="45"/>
      <c r="AH142" s="57"/>
      <c r="AI142" s="57"/>
    </row>
    <row r="143" spans="2:35" ht="12.75" hidden="1" customHeight="1" x14ac:dyDescent="0.25">
      <c r="B143" s="61"/>
      <c r="M143" s="61"/>
      <c r="X143" s="61"/>
      <c r="AB143" s="68"/>
      <c r="AD143" s="18"/>
      <c r="AG143" s="45"/>
      <c r="AH143" s="57"/>
      <c r="AI143" s="57"/>
    </row>
    <row r="144" spans="2:35" ht="12.75" hidden="1" customHeight="1" x14ac:dyDescent="0.25">
      <c r="B144" s="61"/>
      <c r="E144" s="82">
        <f>+H170</f>
        <v>0</v>
      </c>
      <c r="M144" s="61"/>
      <c r="Q144" s="82">
        <f>+C170</f>
        <v>0</v>
      </c>
      <c r="X144" s="61"/>
      <c r="AB144" s="68"/>
      <c r="AD144" s="18"/>
      <c r="AG144" s="45"/>
      <c r="AH144" s="57"/>
      <c r="AI144" s="57"/>
    </row>
    <row r="145" spans="2:35" ht="12.75" hidden="1" customHeight="1" x14ac:dyDescent="0.25">
      <c r="B145" s="61"/>
      <c r="M145" s="61"/>
      <c r="X145" s="61"/>
      <c r="AB145" s="68"/>
      <c r="AD145" s="18"/>
      <c r="AG145" s="45"/>
      <c r="AH145" s="57"/>
      <c r="AI145" s="57"/>
    </row>
    <row r="146" spans="2:35" ht="12.75" hidden="1" customHeight="1" x14ac:dyDescent="0.25">
      <c r="B146" s="61"/>
      <c r="M146" s="61"/>
      <c r="X146" s="61"/>
      <c r="AB146" s="68"/>
      <c r="AD146" s="18"/>
      <c r="AG146" s="45"/>
      <c r="AH146" s="57"/>
      <c r="AI146" s="57"/>
    </row>
    <row r="147" spans="2:35" ht="12.75" hidden="1" customHeight="1" x14ac:dyDescent="0.25">
      <c r="B147" s="61"/>
      <c r="M147" s="61"/>
      <c r="X147" s="61"/>
      <c r="AB147" s="68"/>
      <c r="AD147" s="18"/>
      <c r="AG147" s="45"/>
      <c r="AH147" s="57"/>
      <c r="AI147" s="57"/>
    </row>
    <row r="148" spans="2:35" ht="12.75" hidden="1" customHeight="1" x14ac:dyDescent="0.25">
      <c r="B148" s="61"/>
      <c r="M148" s="61"/>
      <c r="X148" s="61"/>
      <c r="AB148" s="68"/>
      <c r="AD148" s="18"/>
      <c r="AG148" s="45"/>
      <c r="AH148" s="57"/>
      <c r="AI148" s="57"/>
    </row>
    <row r="149" spans="2:35" ht="12.75" hidden="1" customHeight="1" x14ac:dyDescent="0.25">
      <c r="B149" s="61"/>
      <c r="M149" s="61"/>
      <c r="X149" s="61"/>
      <c r="AB149" s="68"/>
      <c r="AD149" s="18"/>
      <c r="AG149" s="45"/>
      <c r="AH149" s="57"/>
      <c r="AI149" s="57"/>
    </row>
    <row r="150" spans="2:35" ht="12.75" hidden="1" customHeight="1" x14ac:dyDescent="0.25">
      <c r="B150" s="61"/>
      <c r="M150" s="61"/>
      <c r="X150" s="61"/>
      <c r="AB150" s="68"/>
      <c r="AD150" s="18"/>
      <c r="AG150" s="45"/>
      <c r="AH150" s="57"/>
      <c r="AI150" s="57"/>
    </row>
    <row r="151" spans="2:35" ht="12.75" hidden="1" customHeight="1" x14ac:dyDescent="0.25">
      <c r="B151" s="61"/>
      <c r="M151" s="61"/>
      <c r="X151" s="61"/>
      <c r="AB151" s="68"/>
      <c r="AD151" s="18"/>
      <c r="AG151" s="45"/>
      <c r="AH151" s="57"/>
      <c r="AI151" s="57"/>
    </row>
    <row r="152" spans="2:35" ht="12.75" hidden="1" customHeight="1" x14ac:dyDescent="0.25">
      <c r="B152" s="61"/>
      <c r="M152" s="61"/>
      <c r="X152" s="61"/>
      <c r="AB152" s="68"/>
      <c r="AD152" s="18"/>
      <c r="AG152" s="45"/>
      <c r="AH152" s="57"/>
      <c r="AI152" s="57"/>
    </row>
    <row r="153" spans="2:35" ht="12.75" hidden="1" customHeight="1" x14ac:dyDescent="0.25">
      <c r="B153" s="61"/>
      <c r="M153" s="61"/>
      <c r="X153" s="61"/>
      <c r="AB153" s="68"/>
      <c r="AD153" s="18"/>
      <c r="AG153" s="45"/>
      <c r="AH153" s="57"/>
      <c r="AI153" s="57"/>
    </row>
    <row r="154" spans="2:35" ht="12.75" hidden="1" customHeight="1" x14ac:dyDescent="0.25">
      <c r="B154" s="61"/>
      <c r="E154" s="82">
        <f>+G170</f>
        <v>0</v>
      </c>
      <c r="M154" s="61"/>
      <c r="Q154" s="82">
        <f>+D170</f>
        <v>0</v>
      </c>
      <c r="X154" s="61"/>
      <c r="AB154" s="68"/>
      <c r="AD154" s="18"/>
      <c r="AG154" s="45"/>
      <c r="AH154" s="57"/>
      <c r="AI154" s="57"/>
    </row>
    <row r="155" spans="2:35" ht="12.75" hidden="1" customHeight="1" x14ac:dyDescent="0.25">
      <c r="B155" s="61"/>
      <c r="M155" s="61"/>
      <c r="X155" s="61"/>
      <c r="AB155" s="68"/>
      <c r="AD155" s="18"/>
      <c r="AG155" s="45"/>
      <c r="AH155" s="57"/>
      <c r="AI155" s="57"/>
    </row>
    <row r="156" spans="2:35" ht="12.75" hidden="1" customHeight="1" x14ac:dyDescent="0.25">
      <c r="B156" s="61"/>
      <c r="M156" s="61"/>
      <c r="X156" s="61"/>
      <c r="AB156" s="68"/>
      <c r="AD156" s="18"/>
      <c r="AG156" s="45"/>
      <c r="AH156" s="57"/>
      <c r="AI156" s="57"/>
    </row>
    <row r="157" spans="2:35" ht="12.75" hidden="1" customHeight="1" x14ac:dyDescent="0.25">
      <c r="B157" s="61"/>
      <c r="M157" s="61"/>
      <c r="X157" s="61"/>
      <c r="AB157" s="68"/>
      <c r="AD157" s="18"/>
      <c r="AG157" s="45"/>
      <c r="AH157" s="57"/>
      <c r="AI157" s="57"/>
    </row>
    <row r="158" spans="2:35" ht="12.75" hidden="1" customHeight="1" x14ac:dyDescent="0.25">
      <c r="B158" s="61"/>
      <c r="M158" s="61"/>
      <c r="X158" s="61"/>
      <c r="AB158" s="68"/>
      <c r="AD158" s="18"/>
      <c r="AG158" s="45"/>
      <c r="AH158" s="57"/>
      <c r="AI158" s="57"/>
    </row>
    <row r="159" spans="2:35" ht="12.75" hidden="1" customHeight="1" x14ac:dyDescent="0.25">
      <c r="B159" s="61"/>
      <c r="M159" s="61"/>
      <c r="X159" s="61"/>
      <c r="AB159" s="68"/>
      <c r="AD159" s="18"/>
      <c r="AG159" s="45"/>
      <c r="AH159" s="57"/>
      <c r="AI159" s="57"/>
    </row>
    <row r="160" spans="2:35" ht="12.75" hidden="1" customHeight="1" x14ac:dyDescent="0.25">
      <c r="B160" s="61"/>
      <c r="M160" s="61"/>
      <c r="X160" s="61"/>
      <c r="AB160" s="68"/>
      <c r="AD160" s="18"/>
      <c r="AG160" s="45"/>
      <c r="AH160" s="57"/>
      <c r="AI160" s="57"/>
    </row>
    <row r="161" spans="2:38" ht="12.75" hidden="1" customHeight="1" x14ac:dyDescent="0.25">
      <c r="B161" s="61"/>
      <c r="M161" s="61"/>
      <c r="X161" s="61"/>
      <c r="AB161" s="68"/>
      <c r="AD161" s="18"/>
      <c r="AG161" s="45"/>
      <c r="AH161" s="57"/>
      <c r="AI161" s="57"/>
    </row>
    <row r="162" spans="2:38" ht="12.75" hidden="1" customHeight="1" x14ac:dyDescent="0.25">
      <c r="B162" s="61"/>
      <c r="M162" s="61"/>
      <c r="X162" s="61"/>
      <c r="AB162" s="68"/>
      <c r="AD162" s="18"/>
      <c r="AG162" s="45"/>
      <c r="AH162" s="57"/>
      <c r="AI162" s="57"/>
    </row>
    <row r="163" spans="2:38" ht="12.75" hidden="1" customHeight="1" x14ac:dyDescent="0.25">
      <c r="B163" s="61"/>
      <c r="M163" s="61"/>
      <c r="X163" s="61"/>
      <c r="AB163" s="68"/>
      <c r="AD163" s="18"/>
      <c r="AG163" s="45"/>
      <c r="AH163" s="57"/>
      <c r="AI163" s="57"/>
    </row>
    <row r="164" spans="2:38" ht="12.75" hidden="1" customHeight="1" x14ac:dyDescent="0.25">
      <c r="B164" s="61"/>
      <c r="I164" s="82">
        <f>+F170</f>
        <v>0</v>
      </c>
      <c r="M164" s="82">
        <f>+E170</f>
        <v>0</v>
      </c>
      <c r="X164" s="61"/>
      <c r="AB164" s="68"/>
      <c r="AD164" s="18"/>
      <c r="AG164" s="45"/>
      <c r="AH164" s="57"/>
      <c r="AI164" s="57"/>
    </row>
    <row r="165" spans="2:38" ht="12.75" customHeight="1" x14ac:dyDescent="0.25">
      <c r="B165" s="542" t="s">
        <v>526</v>
      </c>
      <c r="C165" s="426"/>
      <c r="D165" s="426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426"/>
      <c r="Q165" s="426"/>
      <c r="R165" s="426"/>
      <c r="S165" s="426"/>
      <c r="T165" s="427"/>
      <c r="X165" s="61"/>
      <c r="AB165" s="68"/>
      <c r="AD165" s="18"/>
      <c r="AG165" s="45"/>
      <c r="AH165" s="57"/>
      <c r="AI165" s="57"/>
    </row>
    <row r="166" spans="2:38" ht="21" customHeight="1" x14ac:dyDescent="0.25">
      <c r="B166" s="394"/>
      <c r="C166" s="429"/>
      <c r="D166" s="429"/>
      <c r="E166" s="429"/>
      <c r="F166" s="429"/>
      <c r="G166" s="429"/>
      <c r="H166" s="429"/>
      <c r="I166" s="429"/>
      <c r="J166" s="429"/>
      <c r="K166" s="429"/>
      <c r="L166" s="429"/>
      <c r="M166" s="429"/>
      <c r="N166" s="429"/>
      <c r="O166" s="429"/>
      <c r="P166" s="429"/>
      <c r="Q166" s="429"/>
      <c r="R166" s="429"/>
      <c r="S166" s="429"/>
      <c r="T166" s="430"/>
      <c r="X166" s="61"/>
      <c r="AB166" s="68"/>
      <c r="AD166" s="18"/>
      <c r="AG166" s="45"/>
      <c r="AH166" s="57"/>
      <c r="AI166" s="57"/>
    </row>
    <row r="167" spans="2:38" ht="30.75" customHeight="1" x14ac:dyDescent="0.25">
      <c r="B167" s="432" t="s">
        <v>436</v>
      </c>
      <c r="C167" s="368"/>
      <c r="D167" s="368"/>
      <c r="E167" s="433"/>
      <c r="F167" s="442">
        <f>+AFIRMACIONES!C4</f>
        <v>0</v>
      </c>
      <c r="G167" s="368"/>
      <c r="H167" s="368"/>
      <c r="I167" s="368"/>
      <c r="J167" s="368"/>
      <c r="K167" s="368"/>
      <c r="L167" s="368"/>
      <c r="M167" s="368"/>
      <c r="N167" s="368"/>
      <c r="O167" s="368"/>
      <c r="P167" s="368"/>
      <c r="Q167" s="433"/>
      <c r="X167" s="61"/>
      <c r="AB167" s="68"/>
      <c r="AD167" s="18"/>
      <c r="AG167" s="83"/>
      <c r="AH167" s="72"/>
      <c r="AI167" s="57"/>
    </row>
    <row r="168" spans="2:38" ht="12.75" customHeight="1" x14ac:dyDescent="0.25">
      <c r="B168" s="443" t="s">
        <v>440</v>
      </c>
      <c r="C168" s="374"/>
      <c r="D168" s="374"/>
      <c r="E168" s="374"/>
      <c r="F168" s="374"/>
      <c r="G168" s="374"/>
      <c r="H168" s="374"/>
      <c r="I168" s="374"/>
      <c r="J168" s="375"/>
      <c r="L168" s="84" t="s">
        <v>441</v>
      </c>
      <c r="M168" s="444">
        <f>+AFIRMACIONES!C3</f>
        <v>0</v>
      </c>
      <c r="N168" s="433"/>
      <c r="O168" s="84" t="s">
        <v>442</v>
      </c>
      <c r="P168" s="85">
        <f>+AFIRMACIONES!HO1</f>
        <v>0</v>
      </c>
      <c r="Q168" s="445" t="s">
        <v>443</v>
      </c>
      <c r="R168" s="446"/>
      <c r="S168" s="444">
        <f>+AFIRMACIONES!C5</f>
        <v>0</v>
      </c>
      <c r="T168" s="433"/>
      <c r="X168" s="61"/>
      <c r="AB168" s="68"/>
      <c r="AD168" s="18"/>
      <c r="AG168" s="45"/>
      <c r="AH168" s="57"/>
      <c r="AI168" s="57"/>
    </row>
    <row r="169" spans="2:38" ht="12.75" customHeight="1" x14ac:dyDescent="0.25">
      <c r="B169" s="86">
        <v>1</v>
      </c>
      <c r="C169" s="87">
        <v>2</v>
      </c>
      <c r="D169" s="87">
        <v>3</v>
      </c>
      <c r="E169" s="87">
        <v>4</v>
      </c>
      <c r="F169" s="87">
        <v>5</v>
      </c>
      <c r="G169" s="87">
        <v>6</v>
      </c>
      <c r="H169" s="87">
        <v>7</v>
      </c>
      <c r="I169" s="87">
        <v>8</v>
      </c>
      <c r="J169" s="88">
        <v>9</v>
      </c>
      <c r="M169" s="61"/>
      <c r="N169" s="18"/>
      <c r="O169" s="84" t="s">
        <v>444</v>
      </c>
      <c r="P169" s="444">
        <f>+AFIRMACIONES!C7</f>
        <v>0</v>
      </c>
      <c r="Q169" s="368"/>
      <c r="R169" s="368"/>
      <c r="S169" s="368"/>
      <c r="T169" s="433"/>
      <c r="X169" s="61"/>
      <c r="AB169" s="68"/>
      <c r="AD169" s="18"/>
      <c r="AG169" s="45"/>
      <c r="AH169" s="57"/>
      <c r="AI169" s="57"/>
    </row>
    <row r="170" spans="2:38" ht="12.75" customHeight="1" x14ac:dyDescent="0.25">
      <c r="B170" s="89">
        <f t="shared" ref="B170:J170" si="8">SUM(Z79:Z81)</f>
        <v>0</v>
      </c>
      <c r="C170" s="89">
        <f t="shared" si="8"/>
        <v>0</v>
      </c>
      <c r="D170" s="89">
        <f t="shared" si="8"/>
        <v>0</v>
      </c>
      <c r="E170" s="89">
        <f t="shared" si="8"/>
        <v>0</v>
      </c>
      <c r="F170" s="89">
        <f t="shared" si="8"/>
        <v>0</v>
      </c>
      <c r="G170" s="89">
        <f t="shared" si="8"/>
        <v>0</v>
      </c>
      <c r="H170" s="89">
        <f t="shared" si="8"/>
        <v>0</v>
      </c>
      <c r="I170" s="89">
        <f t="shared" si="8"/>
        <v>0</v>
      </c>
      <c r="J170" s="89">
        <f t="shared" si="8"/>
        <v>0</v>
      </c>
      <c r="M170" s="61"/>
      <c r="N170" s="18"/>
      <c r="O170" s="84" t="s">
        <v>445</v>
      </c>
      <c r="P170" s="444">
        <f>+AFIRMACIONES!C8</f>
        <v>0</v>
      </c>
      <c r="Q170" s="368"/>
      <c r="R170" s="368"/>
      <c r="S170" s="368"/>
      <c r="T170" s="433"/>
      <c r="X170" s="61"/>
      <c r="AB170" s="68"/>
      <c r="AD170" s="18"/>
      <c r="AG170" s="45"/>
      <c r="AH170" s="57"/>
      <c r="AI170" s="57"/>
    </row>
    <row r="171" spans="2:38" ht="12.75" customHeight="1" x14ac:dyDescent="0.25">
      <c r="B171" s="434" t="s">
        <v>446</v>
      </c>
      <c r="C171" s="399"/>
      <c r="D171" s="90">
        <f>SUM(B170:J170)/261</f>
        <v>0</v>
      </c>
      <c r="E171" s="447" t="str">
        <f>IF(D171&lt;0.2,"NO SE PUEDE HACER EL ANÁLISIS",IF(D171&gt;0.3,"NO TIENES PROBLEMAS EN MOSTRARTE","TE CUESTA MOSTRARTE"))</f>
        <v>NO SE PUEDE HACER EL ANÁLISIS</v>
      </c>
      <c r="F171" s="398"/>
      <c r="G171" s="398"/>
      <c r="H171" s="398"/>
      <c r="I171" s="398"/>
      <c r="J171" s="399"/>
      <c r="M171" s="61"/>
      <c r="N171" s="18"/>
      <c r="O171" s="84" t="s">
        <v>447</v>
      </c>
      <c r="P171" s="444">
        <f>+AFIRMACIONES!C9</f>
        <v>0</v>
      </c>
      <c r="Q171" s="368"/>
      <c r="R171" s="368"/>
      <c r="S171" s="368"/>
      <c r="T171" s="433"/>
      <c r="X171" s="61"/>
      <c r="AB171" s="68"/>
      <c r="AD171" s="18"/>
      <c r="AG171" s="45"/>
      <c r="AH171" s="57"/>
      <c r="AI171" s="57"/>
    </row>
    <row r="172" spans="2:38" ht="12.75" customHeight="1" x14ac:dyDescent="0.3">
      <c r="B172" s="61"/>
      <c r="F172" s="435" t="s">
        <v>439</v>
      </c>
      <c r="G172" s="436"/>
      <c r="H172" s="91">
        <f>(MAX($B$170:$J$170)+MIN($B$170:$J$170))/2</f>
        <v>0</v>
      </c>
      <c r="M172" s="61"/>
      <c r="O172" s="84" t="s">
        <v>448</v>
      </c>
      <c r="P172" s="543" t="e">
        <f>+VLOOKUP(1,AFIRMACIONES!$C$10:$D$21,2,FALSE)</f>
        <v>#N/A</v>
      </c>
      <c r="Q172" s="544"/>
      <c r="R172" s="308"/>
      <c r="S172" s="309" t="e">
        <f>+VLOOKUP(1,AFIRMACIONES!$N$10:$O$21,2,FALSE)</f>
        <v>#N/A</v>
      </c>
      <c r="T172" s="74"/>
      <c r="X172" s="61"/>
      <c r="AB172" s="68"/>
      <c r="AD172" s="18"/>
      <c r="AG172" s="45"/>
      <c r="AH172" s="57"/>
      <c r="AI172" s="57"/>
    </row>
    <row r="173" spans="2:38" ht="12.75" customHeight="1" x14ac:dyDescent="0.25">
      <c r="B173" s="437" t="s">
        <v>527</v>
      </c>
      <c r="C173" s="374"/>
      <c r="D173" s="374"/>
      <c r="E173" s="374"/>
      <c r="F173" s="374"/>
      <c r="G173" s="407"/>
      <c r="H173" s="92">
        <f>COUNTIF(B170:J170,"&gt;"&amp;H172)</f>
        <v>0</v>
      </c>
      <c r="J173" s="71"/>
      <c r="M173" s="61"/>
      <c r="X173" s="61"/>
      <c r="AB173" s="68"/>
      <c r="AD173" s="18"/>
      <c r="AG173" s="45"/>
      <c r="AH173" s="57"/>
      <c r="AI173" s="57"/>
      <c r="AK173" s="70"/>
      <c r="AL173" s="71"/>
    </row>
    <row r="174" spans="2:38" ht="12.75" customHeight="1" x14ac:dyDescent="0.25">
      <c r="B174" s="438" t="s">
        <v>528</v>
      </c>
      <c r="C174" s="361"/>
      <c r="D174" s="361"/>
      <c r="E174" s="361"/>
      <c r="F174" s="361"/>
      <c r="G174" s="388"/>
      <c r="H174" s="93">
        <f>COUNTIF(B170:J170,"="&amp;H172)</f>
        <v>9</v>
      </c>
      <c r="L174" s="94" t="s">
        <v>451</v>
      </c>
      <c r="M174" s="457" t="s">
        <v>452</v>
      </c>
      <c r="N174" s="374"/>
      <c r="O174" s="374"/>
      <c r="P174" s="374"/>
      <c r="Q174" s="374"/>
      <c r="R174" s="374"/>
      <c r="S174" s="407"/>
      <c r="T174" s="95" t="s">
        <v>453</v>
      </c>
      <c r="X174" s="61"/>
      <c r="AB174" s="68"/>
      <c r="AD174" s="18"/>
      <c r="AG174" s="45"/>
      <c r="AH174" s="57"/>
      <c r="AI174" s="57"/>
      <c r="AK174" s="70"/>
      <c r="AL174" s="71"/>
    </row>
    <row r="175" spans="2:38" ht="12.75" customHeight="1" x14ac:dyDescent="0.25">
      <c r="B175" s="439" t="s">
        <v>529</v>
      </c>
      <c r="C175" s="377"/>
      <c r="D175" s="377"/>
      <c r="E175" s="377"/>
      <c r="F175" s="377"/>
      <c r="G175" s="440"/>
      <c r="H175" s="92">
        <f>COUNTIF(B170:J170,"&lt;"&amp;H172)</f>
        <v>0</v>
      </c>
      <c r="K175" s="71"/>
      <c r="L175" s="458">
        <v>1</v>
      </c>
      <c r="M175" s="448" t="e">
        <f>+VLOOKUP(L175,AFIRMACIONES!$B$305:$H$313,2,0)</f>
        <v>#N/A</v>
      </c>
      <c r="N175" s="449"/>
      <c r="O175" s="449"/>
      <c r="P175" s="449"/>
      <c r="Q175" s="449"/>
      <c r="R175" s="449"/>
      <c r="S175" s="391"/>
      <c r="T175" s="453" t="e">
        <f>+VLOOKUP(L175,AFIRMACIONES!$B$305:$N$313,13,0)</f>
        <v>#N/A</v>
      </c>
      <c r="U175" s="71"/>
      <c r="X175" s="61"/>
      <c r="AB175" s="68"/>
      <c r="AD175" s="18"/>
      <c r="AG175" s="45"/>
      <c r="AH175" s="57"/>
      <c r="AI175" s="57"/>
      <c r="AK175" s="70"/>
      <c r="AL175" s="71"/>
    </row>
    <row r="176" spans="2:38" ht="12.75" customHeight="1" x14ac:dyDescent="0.3">
      <c r="B176" s="441" t="s">
        <v>455</v>
      </c>
      <c r="C176" s="374"/>
      <c r="D176" s="374"/>
      <c r="E176" s="374"/>
      <c r="F176" s="374"/>
      <c r="G176" s="374"/>
      <c r="H176" s="374"/>
      <c r="I176" s="374"/>
      <c r="J176" s="375"/>
      <c r="K176" s="71"/>
      <c r="L176" s="459"/>
      <c r="M176" s="450"/>
      <c r="N176" s="451"/>
      <c r="O176" s="451"/>
      <c r="P176" s="451"/>
      <c r="Q176" s="451"/>
      <c r="R176" s="451"/>
      <c r="S176" s="452"/>
      <c r="T176" s="454"/>
      <c r="U176" s="71"/>
      <c r="X176" s="61"/>
      <c r="AB176" s="68"/>
      <c r="AD176" s="18"/>
      <c r="AG176" s="45"/>
      <c r="AH176" s="57"/>
      <c r="AI176" s="57"/>
      <c r="AK176" s="70"/>
      <c r="AL176" s="71"/>
    </row>
    <row r="177" spans="2:38" ht="12.75" customHeight="1" x14ac:dyDescent="0.25">
      <c r="B177" s="96">
        <v>1</v>
      </c>
      <c r="C177" s="97">
        <v>2</v>
      </c>
      <c r="D177" s="97">
        <v>3</v>
      </c>
      <c r="E177" s="97">
        <v>4</v>
      </c>
      <c r="F177" s="97">
        <v>5</v>
      </c>
      <c r="G177" s="97">
        <v>6</v>
      </c>
      <c r="H177" s="97">
        <v>7</v>
      </c>
      <c r="I177" s="97">
        <v>8</v>
      </c>
      <c r="J177" s="98">
        <v>9</v>
      </c>
      <c r="K177" s="71"/>
      <c r="L177" s="458">
        <v>2</v>
      </c>
      <c r="M177" s="448" t="e">
        <f>+VLOOKUP(L177,AFIRMACIONES!$B$305:$H$313,2,0)</f>
        <v>#N/A</v>
      </c>
      <c r="N177" s="449"/>
      <c r="O177" s="449"/>
      <c r="P177" s="449"/>
      <c r="Q177" s="449"/>
      <c r="R177" s="449"/>
      <c r="S177" s="391"/>
      <c r="T177" s="453" t="e">
        <f>+VLOOKUP(L177,AFIRMACIONES!$B$305:$N$313,13,0)</f>
        <v>#N/A</v>
      </c>
      <c r="U177" s="71"/>
      <c r="X177" s="61"/>
      <c r="AB177" s="68"/>
      <c r="AD177" s="18"/>
      <c r="AG177" s="45"/>
      <c r="AH177" s="57"/>
      <c r="AI177" s="57"/>
      <c r="AK177" s="70"/>
      <c r="AL177" s="71"/>
    </row>
    <row r="178" spans="2:38" ht="12.75" customHeight="1" x14ac:dyDescent="0.3">
      <c r="B178" s="99" t="str">
        <f t="shared" ref="B178:J178" si="9">+IF(B170=$H$172,"Igual",IF(B170&lt;$H$172,"Bajo","Sobre"))</f>
        <v>Igual</v>
      </c>
      <c r="C178" s="100" t="str">
        <f t="shared" si="9"/>
        <v>Igual</v>
      </c>
      <c r="D178" s="100" t="str">
        <f t="shared" si="9"/>
        <v>Igual</v>
      </c>
      <c r="E178" s="100" t="str">
        <f t="shared" si="9"/>
        <v>Igual</v>
      </c>
      <c r="F178" s="100" t="str">
        <f t="shared" si="9"/>
        <v>Igual</v>
      </c>
      <c r="G178" s="100" t="str">
        <f t="shared" si="9"/>
        <v>Igual</v>
      </c>
      <c r="H178" s="100" t="str">
        <f t="shared" si="9"/>
        <v>Igual</v>
      </c>
      <c r="I178" s="100" t="str">
        <f t="shared" si="9"/>
        <v>Igual</v>
      </c>
      <c r="J178" s="101" t="str">
        <f t="shared" si="9"/>
        <v>Igual</v>
      </c>
      <c r="K178" s="71"/>
      <c r="L178" s="459"/>
      <c r="M178" s="450"/>
      <c r="N178" s="451"/>
      <c r="O178" s="451"/>
      <c r="P178" s="451"/>
      <c r="Q178" s="451"/>
      <c r="R178" s="451"/>
      <c r="S178" s="452"/>
      <c r="T178" s="454"/>
      <c r="U178" s="102"/>
      <c r="X178" s="61"/>
      <c r="AB178" s="68"/>
      <c r="AD178" s="18"/>
      <c r="AG178" s="45"/>
      <c r="AH178" s="57"/>
      <c r="AI178" s="57"/>
      <c r="AK178" s="70"/>
      <c r="AL178" s="71"/>
    </row>
    <row r="179" spans="2:38" ht="12.75" customHeight="1" x14ac:dyDescent="0.3">
      <c r="B179" s="103">
        <f t="shared" ref="B179:J179" si="10">+B170-$H$172</f>
        <v>0</v>
      </c>
      <c r="C179" s="104">
        <f t="shared" si="10"/>
        <v>0</v>
      </c>
      <c r="D179" s="104">
        <f t="shared" si="10"/>
        <v>0</v>
      </c>
      <c r="E179" s="104">
        <f t="shared" si="10"/>
        <v>0</v>
      </c>
      <c r="F179" s="104">
        <f t="shared" si="10"/>
        <v>0</v>
      </c>
      <c r="G179" s="104">
        <f t="shared" si="10"/>
        <v>0</v>
      </c>
      <c r="H179" s="104">
        <f t="shared" si="10"/>
        <v>0</v>
      </c>
      <c r="I179" s="104">
        <f t="shared" si="10"/>
        <v>0</v>
      </c>
      <c r="J179" s="105">
        <f t="shared" si="10"/>
        <v>0</v>
      </c>
      <c r="K179" s="71"/>
      <c r="L179" s="458">
        <v>3</v>
      </c>
      <c r="M179" s="448" t="e">
        <f>+VLOOKUP(L179,AFIRMACIONES!$B$305:$H$313,2,0)</f>
        <v>#N/A</v>
      </c>
      <c r="N179" s="449"/>
      <c r="O179" s="449"/>
      <c r="P179" s="449"/>
      <c r="Q179" s="449"/>
      <c r="R179" s="449"/>
      <c r="S179" s="391"/>
      <c r="T179" s="453" t="e">
        <f>+VLOOKUP(L179,AFIRMACIONES!$B$305:$N$313,13,0)</f>
        <v>#N/A</v>
      </c>
      <c r="U179" s="102"/>
      <c r="X179" s="61"/>
      <c r="AB179" s="68"/>
      <c r="AD179" s="18"/>
      <c r="AG179" s="45"/>
      <c r="AH179" s="57"/>
      <c r="AI179" s="57"/>
      <c r="AK179" s="70"/>
      <c r="AL179" s="71"/>
    </row>
    <row r="180" spans="2:38" ht="12.75" customHeight="1" x14ac:dyDescent="0.25">
      <c r="B180" s="462" t="s">
        <v>456</v>
      </c>
      <c r="C180" s="371"/>
      <c r="D180" s="463"/>
      <c r="E180" s="106">
        <f>MAX(B170:J170)-MIN(B170:J170)</f>
        <v>0</v>
      </c>
      <c r="K180" s="71"/>
      <c r="L180" s="460"/>
      <c r="M180" s="428"/>
      <c r="N180" s="429"/>
      <c r="O180" s="429"/>
      <c r="P180" s="429"/>
      <c r="Q180" s="429"/>
      <c r="R180" s="429"/>
      <c r="S180" s="395"/>
      <c r="T180" s="461"/>
      <c r="U180" s="71"/>
      <c r="X180" s="61"/>
      <c r="AB180" s="68"/>
      <c r="AD180" s="18"/>
      <c r="AG180" s="45"/>
      <c r="AH180" s="57"/>
      <c r="AI180" s="59"/>
      <c r="AJ180" s="71"/>
      <c r="AK180" s="75"/>
      <c r="AL180" s="71"/>
    </row>
    <row r="181" spans="2:38" ht="12.75" customHeight="1" x14ac:dyDescent="0.3">
      <c r="B181" s="61"/>
      <c r="K181" s="71"/>
      <c r="L181" s="464" t="s">
        <v>457</v>
      </c>
      <c r="M181" s="374"/>
      <c r="N181" s="374"/>
      <c r="O181" s="374"/>
      <c r="P181" s="374"/>
      <c r="Q181" s="374"/>
      <c r="R181" s="374"/>
      <c r="S181" s="407"/>
      <c r="T181" s="95" t="s">
        <v>453</v>
      </c>
      <c r="U181" s="102"/>
      <c r="X181" s="61"/>
      <c r="AB181" s="68"/>
      <c r="AD181" s="18"/>
      <c r="AG181" s="45"/>
      <c r="AH181" s="57"/>
      <c r="AI181" s="59"/>
      <c r="AJ181" s="71"/>
    </row>
    <row r="182" spans="2:38" ht="12.75" customHeight="1" x14ac:dyDescent="0.3">
      <c r="B182" s="61"/>
      <c r="K182" s="71"/>
      <c r="L182" s="107">
        <v>1</v>
      </c>
      <c r="M182" s="465" t="s">
        <v>458</v>
      </c>
      <c r="N182" s="361"/>
      <c r="O182" s="388"/>
      <c r="P182" s="466" t="e">
        <f>+VLOOKUP(L182,AFIRMACIONES!$B$318:$N$326,2,0)</f>
        <v>#N/A</v>
      </c>
      <c r="Q182" s="361"/>
      <c r="R182" s="361"/>
      <c r="S182" s="388"/>
      <c r="T182" s="108" t="e">
        <f>+VLOOKUP(L182,AFIRMACIONES!$B$318:$N$326,13,0)</f>
        <v>#N/A</v>
      </c>
      <c r="U182" s="102"/>
      <c r="X182" s="61"/>
      <c r="AB182" s="68"/>
      <c r="AD182" s="18"/>
      <c r="AG182" s="45"/>
      <c r="AH182" s="57"/>
      <c r="AI182" s="57"/>
    </row>
    <row r="183" spans="2:38" ht="12.75" customHeight="1" x14ac:dyDescent="0.3">
      <c r="B183" s="61"/>
      <c r="K183" s="71"/>
      <c r="L183" s="109">
        <v>2</v>
      </c>
      <c r="M183" s="467" t="s">
        <v>459</v>
      </c>
      <c r="N183" s="377"/>
      <c r="O183" s="440"/>
      <c r="P183" s="468" t="e">
        <f>+VLOOKUP(L183,AFIRMACIONES!$B$318:$N$326,2,0)</f>
        <v>#N/A</v>
      </c>
      <c r="Q183" s="377"/>
      <c r="R183" s="377"/>
      <c r="S183" s="440"/>
      <c r="T183" s="110" t="e">
        <f>+VLOOKUP(L183,AFIRMACIONES!$B$318:$N$326,13,0)</f>
        <v>#N/A</v>
      </c>
      <c r="U183" s="102"/>
      <c r="X183" s="61"/>
      <c r="AB183" s="68"/>
      <c r="AD183" s="18"/>
      <c r="AG183" s="45"/>
      <c r="AH183" s="57"/>
      <c r="AI183" s="57"/>
    </row>
    <row r="184" spans="2:38" ht="12.75" customHeight="1" x14ac:dyDescent="0.25">
      <c r="B184" s="61"/>
      <c r="K184" s="71"/>
      <c r="M184" s="61"/>
      <c r="U184" s="71"/>
      <c r="X184" s="61"/>
      <c r="AB184" s="68"/>
      <c r="AD184" s="18"/>
      <c r="AG184" s="45"/>
      <c r="AH184" s="57"/>
      <c r="AI184" s="57"/>
    </row>
    <row r="185" spans="2:38" ht="12.75" customHeight="1" x14ac:dyDescent="0.3">
      <c r="B185" s="61"/>
      <c r="K185" s="71"/>
      <c r="M185" s="61"/>
      <c r="U185" s="102"/>
      <c r="X185" s="61"/>
      <c r="AB185" s="68"/>
      <c r="AD185" s="18"/>
      <c r="AG185" s="45"/>
      <c r="AH185" s="57"/>
      <c r="AI185" s="59"/>
      <c r="AJ185" s="71"/>
    </row>
    <row r="186" spans="2:38" ht="12.75" customHeight="1" x14ac:dyDescent="0.25">
      <c r="B186" s="61"/>
      <c r="K186" s="70"/>
      <c r="L186" s="443" t="s">
        <v>460</v>
      </c>
      <c r="M186" s="374"/>
      <c r="N186" s="374"/>
      <c r="O186" s="374"/>
      <c r="P186" s="374"/>
      <c r="Q186" s="374"/>
      <c r="R186" s="374"/>
      <c r="S186" s="374"/>
      <c r="T186" s="375"/>
      <c r="U186" s="71"/>
      <c r="X186" s="61"/>
      <c r="AB186" s="68"/>
      <c r="AD186" s="18"/>
      <c r="AG186" s="45"/>
      <c r="AH186" s="57"/>
      <c r="AI186" s="59"/>
      <c r="AJ186" s="71"/>
    </row>
    <row r="187" spans="2:38" ht="12.75" customHeight="1" x14ac:dyDescent="0.25">
      <c r="B187" s="111"/>
      <c r="C187" s="111"/>
      <c r="D187" s="111"/>
      <c r="E187" s="111"/>
      <c r="F187" s="111"/>
      <c r="G187" s="111"/>
      <c r="H187" s="111"/>
      <c r="I187" s="111"/>
      <c r="J187" s="111"/>
      <c r="K187" s="112"/>
      <c r="L187" s="113">
        <v>4</v>
      </c>
      <c r="M187" s="114">
        <v>5</v>
      </c>
      <c r="N187" s="114">
        <v>3</v>
      </c>
      <c r="O187" s="114">
        <v>6</v>
      </c>
      <c r="P187" s="114">
        <v>2</v>
      </c>
      <c r="Q187" s="114">
        <v>7</v>
      </c>
      <c r="R187" s="114">
        <v>1</v>
      </c>
      <c r="S187" s="114">
        <v>8</v>
      </c>
      <c r="T187" s="115">
        <v>9</v>
      </c>
      <c r="U187" s="116"/>
      <c r="W187" s="18"/>
      <c r="X187" s="61"/>
      <c r="AB187" s="68"/>
      <c r="AD187" s="18"/>
      <c r="AG187" s="45"/>
      <c r="AH187" s="57"/>
      <c r="AI187" s="59"/>
      <c r="AJ187" s="71"/>
    </row>
    <row r="188" spans="2:38" ht="12.75" customHeight="1" x14ac:dyDescent="0.25">
      <c r="B188" s="111"/>
      <c r="C188" s="111"/>
      <c r="D188" s="111"/>
      <c r="E188" s="111"/>
      <c r="F188" s="111"/>
      <c r="G188" s="111"/>
      <c r="H188" s="111"/>
      <c r="I188" s="111"/>
      <c r="J188" s="111"/>
      <c r="K188" s="112"/>
      <c r="L188" s="117">
        <f t="shared" ref="L188:M188" si="11">+E170</f>
        <v>0</v>
      </c>
      <c r="M188" s="118">
        <f t="shared" si="11"/>
        <v>0</v>
      </c>
      <c r="N188" s="118">
        <f>+D170</f>
        <v>0</v>
      </c>
      <c r="O188" s="118">
        <f>+G170</f>
        <v>0</v>
      </c>
      <c r="P188" s="118">
        <f>+C170</f>
        <v>0</v>
      </c>
      <c r="Q188" s="118">
        <f>+H170</f>
        <v>0</v>
      </c>
      <c r="R188" s="118">
        <f>+B170</f>
        <v>0</v>
      </c>
      <c r="S188" s="118">
        <f t="shared" ref="S188:T188" si="12">+I170</f>
        <v>0</v>
      </c>
      <c r="T188" s="119">
        <f t="shared" si="12"/>
        <v>0</v>
      </c>
      <c r="U188" s="71"/>
      <c r="W188" s="18"/>
      <c r="X188" s="61"/>
      <c r="AB188" s="68"/>
      <c r="AD188" s="18"/>
      <c r="AG188" s="45"/>
      <c r="AH188" s="57"/>
      <c r="AI188" s="59"/>
      <c r="AJ188" s="71"/>
    </row>
    <row r="189" spans="2:38" ht="12.75" customHeight="1" x14ac:dyDescent="0.25"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469" t="s">
        <v>461</v>
      </c>
      <c r="M189" s="470"/>
      <c r="N189" s="471" t="s">
        <v>462</v>
      </c>
      <c r="O189" s="470"/>
      <c r="P189" s="471" t="s">
        <v>463</v>
      </c>
      <c r="Q189" s="470"/>
      <c r="R189" s="471" t="s">
        <v>464</v>
      </c>
      <c r="S189" s="470"/>
      <c r="T189" s="120" t="s">
        <v>465</v>
      </c>
      <c r="U189" s="71"/>
      <c r="X189" s="61"/>
      <c r="AB189" s="68"/>
      <c r="AD189" s="18"/>
      <c r="AG189" s="45"/>
      <c r="AH189" s="57"/>
      <c r="AI189" s="59"/>
      <c r="AJ189" s="71"/>
    </row>
    <row r="190" spans="2:38" ht="17.25" customHeight="1" x14ac:dyDescent="0.25"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490" t="str">
        <f>+IF(AND((L188-M188)&lt;=$AG$84,(L188-M188)&gt;=-$AG$84),"EJE","NO")</f>
        <v>EJE</v>
      </c>
      <c r="M190" s="470"/>
      <c r="N190" s="491" t="str">
        <f>+IF(AND((N188-O188)&lt;=$AG$84,(N188-O188)&gt;=-$AG$84),"EJE","NO")</f>
        <v>EJE</v>
      </c>
      <c r="O190" s="470"/>
      <c r="P190" s="491" t="str">
        <f>+IF(AND((P188-Q188)&lt;=$AG$84,(P188-Q188)&gt;=-$AG$84),"EJE","NO")</f>
        <v>EJE</v>
      </c>
      <c r="Q190" s="470"/>
      <c r="R190" s="491" t="str">
        <f>+IF(AND((R188-S188)&lt;=$AG$84,(R188-S188)&gt;=-$AG$84),"EJE","NO")</f>
        <v>EJE</v>
      </c>
      <c r="S190" s="470"/>
      <c r="T190" s="121" t="s">
        <v>466</v>
      </c>
      <c r="U190" s="71"/>
      <c r="X190" s="61"/>
      <c r="AB190" s="68"/>
      <c r="AD190" s="18"/>
      <c r="AG190" s="45"/>
      <c r="AH190" s="57"/>
      <c r="AI190" s="59"/>
      <c r="AJ190" s="71"/>
    </row>
    <row r="191" spans="2:38" ht="17.25" customHeight="1" x14ac:dyDescent="0.25">
      <c r="B191" s="492" t="s">
        <v>467</v>
      </c>
      <c r="C191" s="398"/>
      <c r="D191" s="398"/>
      <c r="E191" s="398"/>
      <c r="F191" s="398"/>
      <c r="G191" s="398"/>
      <c r="H191" s="398"/>
      <c r="I191" s="398"/>
      <c r="J191" s="399"/>
      <c r="K191" s="111"/>
      <c r="L191" s="493" t="str">
        <f>IF(L190="EJE",(+IF(AND((L188-$H$172)&gt;=0,(M188-$H$172)&gt;=0,((L188-$H$172)+(M188-$H$172))&gt;0),"SOBRE LA MEDIA",(IF(AND((L188-$H$172)&lt;=0,(M188-$H$172)&lt;=0,((L188-$H$172)+(M188-$H$172))&lt;0),"BAJO LA MEDIA","EN LA MEDIA")))),"HAY EJE")</f>
        <v>EN LA MEDIA</v>
      </c>
      <c r="M191" s="452"/>
      <c r="N191" s="494" t="str">
        <f>IF(N190="EJE",(+IF(AND((N188-$H$172)&gt;=0,(O188-$H$172)&gt;=0,((N188-$H$172)+(O188-$H$172))&gt;0),"SOBRE LA MEDIA",(IF(AND((N188-$H$172)&lt;=0,(O188-$H$172)&lt;=0,((N188-$H$172)+(O188-$H$172))&lt;0),"BAJO LA MEDIA","EN LA MEDIA")))),"HAY EJE")</f>
        <v>EN LA MEDIA</v>
      </c>
      <c r="O191" s="452"/>
      <c r="P191" s="494" t="str">
        <f>IF(P190="EJE",(+IF(AND((P188-$H$172)&gt;=0,(Q188-$H$172)&gt;=0,((P188-$H$172)+(Q188-$H$172))&gt;0),"SOBRE LA MEDIA",(IF(AND((P188-$H$172)&lt;=0,(Q188-$H$172)&lt;=0,((P188-$H$172)+(Q188-$H$172))&lt;0),"BAJO LA MEDIA","EN LA MEDIA")))),"HAY EJE")</f>
        <v>EN LA MEDIA</v>
      </c>
      <c r="Q191" s="452"/>
      <c r="R191" s="494" t="str">
        <f>IF(R190="EJE",(+IF(AND((R188-$H$172)&gt;=0,(S188-$H$172)&gt;=0,((R188-$H$172)+(S188-$H$172))&gt;0),"SOBRE LA MEDIA",(IF(AND((R188-$H$172)&lt;=0,(S188-$H$172)&lt;=0,((R188-$H$172)+(S188-$H$172))&lt;0),"BAJO LA MEDIA","EN LA MEDIA")))),"HAY EJE")</f>
        <v>EN LA MEDIA</v>
      </c>
      <c r="S191" s="452"/>
      <c r="T191" s="122" t="str">
        <f>IF(T188&lt;$H$172,"BAJO","ALTO")</f>
        <v>ALTO</v>
      </c>
      <c r="U191" s="71"/>
      <c r="X191" s="61"/>
      <c r="AB191" s="68"/>
      <c r="AD191" s="18"/>
      <c r="AG191" s="45"/>
      <c r="AH191" s="57"/>
      <c r="AI191" s="59"/>
      <c r="AJ191" s="71"/>
    </row>
    <row r="192" spans="2:38" ht="17.25" customHeight="1" x14ac:dyDescent="0.25">
      <c r="B192" s="123">
        <v>1</v>
      </c>
      <c r="C192" s="95">
        <v>5</v>
      </c>
      <c r="D192" s="123">
        <v>2</v>
      </c>
      <c r="E192" s="95">
        <v>6</v>
      </c>
      <c r="F192" s="123">
        <v>3</v>
      </c>
      <c r="G192" s="95">
        <v>7</v>
      </c>
      <c r="H192" s="123">
        <v>4</v>
      </c>
      <c r="I192" s="124">
        <v>8</v>
      </c>
      <c r="J192" s="125">
        <v>9</v>
      </c>
      <c r="K192" s="111"/>
      <c r="L192" s="495" t="s">
        <v>468</v>
      </c>
      <c r="M192" s="449"/>
      <c r="N192" s="449"/>
      <c r="O192" s="449"/>
      <c r="P192" s="449"/>
      <c r="Q192" s="449"/>
      <c r="R192" s="449"/>
      <c r="S192" s="449"/>
      <c r="T192" s="496"/>
      <c r="U192" s="69"/>
      <c r="X192" s="111"/>
      <c r="AB192" s="68"/>
      <c r="AD192" s="18"/>
      <c r="AG192" s="45"/>
      <c r="AH192" s="57"/>
      <c r="AI192" s="4"/>
      <c r="AJ192" s="71"/>
    </row>
    <row r="193" spans="2:38" ht="17.25" customHeight="1" x14ac:dyDescent="0.25">
      <c r="B193" s="126">
        <f>+B170</f>
        <v>0</v>
      </c>
      <c r="C193" s="127">
        <f>+F170</f>
        <v>0</v>
      </c>
      <c r="D193" s="126">
        <f>+C170</f>
        <v>0</v>
      </c>
      <c r="E193" s="127">
        <f>+G170</f>
        <v>0</v>
      </c>
      <c r="F193" s="126">
        <f>+D170</f>
        <v>0</v>
      </c>
      <c r="G193" s="127">
        <f>+H170</f>
        <v>0</v>
      </c>
      <c r="H193" s="126">
        <f>+E170</f>
        <v>0</v>
      </c>
      <c r="I193" s="128">
        <f t="shared" ref="I193:J193" si="13">+I170</f>
        <v>0</v>
      </c>
      <c r="J193" s="498">
        <f t="shared" si="13"/>
        <v>0</v>
      </c>
      <c r="K193" s="111"/>
      <c r="L193" s="392"/>
      <c r="M193" s="446"/>
      <c r="N193" s="446"/>
      <c r="O193" s="446"/>
      <c r="P193" s="446"/>
      <c r="Q193" s="446"/>
      <c r="R193" s="446"/>
      <c r="S193" s="446"/>
      <c r="T193" s="497"/>
      <c r="U193" s="71"/>
      <c r="X193" s="111"/>
      <c r="AB193" s="68"/>
      <c r="AD193" s="18"/>
      <c r="AG193" s="45"/>
      <c r="AH193" s="57"/>
      <c r="AI193" s="57"/>
      <c r="AJ193" s="71"/>
    </row>
    <row r="194" spans="2:38" ht="17.25" customHeight="1" x14ac:dyDescent="0.25">
      <c r="B194" s="500">
        <f>(+B170+F170)/2</f>
        <v>0</v>
      </c>
      <c r="C194" s="362"/>
      <c r="D194" s="500">
        <f>(+C170+G170)/2</f>
        <v>0</v>
      </c>
      <c r="E194" s="362"/>
      <c r="F194" s="500">
        <f>(+D170+H170)/2</f>
        <v>0</v>
      </c>
      <c r="G194" s="362"/>
      <c r="H194" s="500">
        <f>(+E170+I170)/2</f>
        <v>0</v>
      </c>
      <c r="I194" s="362"/>
      <c r="J194" s="499"/>
      <c r="K194" s="111"/>
      <c r="L194" s="394"/>
      <c r="M194" s="429"/>
      <c r="N194" s="429"/>
      <c r="O194" s="429"/>
      <c r="P194" s="429"/>
      <c r="Q194" s="429"/>
      <c r="R194" s="429"/>
      <c r="S194" s="429"/>
      <c r="T194" s="430"/>
      <c r="U194" s="71"/>
      <c r="X194" s="129"/>
      <c r="AB194" s="68"/>
      <c r="AD194" s="18"/>
      <c r="AG194" s="45"/>
      <c r="AH194" s="57"/>
      <c r="AI194" s="57"/>
      <c r="AJ194" s="71"/>
    </row>
    <row r="195" spans="2:38" ht="17.25" customHeight="1" x14ac:dyDescent="0.35">
      <c r="B195" s="501" t="s">
        <v>530</v>
      </c>
      <c r="C195" s="378"/>
      <c r="D195" s="502" t="s">
        <v>531</v>
      </c>
      <c r="E195" s="378"/>
      <c r="F195" s="503" t="s">
        <v>532</v>
      </c>
      <c r="G195" s="378"/>
      <c r="H195" s="504" t="s">
        <v>533</v>
      </c>
      <c r="I195" s="378"/>
      <c r="J195" s="130" t="s">
        <v>473</v>
      </c>
      <c r="L195" s="132"/>
      <c r="M195" s="132"/>
      <c r="N195" s="132"/>
      <c r="O195" s="132"/>
      <c r="P195" s="132"/>
      <c r="U195" s="71"/>
      <c r="X195" s="61"/>
      <c r="AB195" s="68"/>
      <c r="AD195" s="18"/>
      <c r="AG195" s="45"/>
      <c r="AH195" s="57"/>
      <c r="AI195" s="57"/>
    </row>
    <row r="196" spans="2:38" ht="17.25" customHeight="1" x14ac:dyDescent="0.25">
      <c r="B196" s="505" t="str">
        <f>IF(B194=MIN($B$194:$I$194),"Eje más bajo",IF(B194=MAX($B194:$I194),"Eje más alto","Eje"))</f>
        <v>Eje más bajo</v>
      </c>
      <c r="C196" s="366"/>
      <c r="D196" s="505" t="str">
        <f>IF(D194=MIN($B$194:$I$194),"Eje más bajo",IF(D194=MAX($B194:$I194),"Eje más alto","Eje"))</f>
        <v>Eje más bajo</v>
      </c>
      <c r="E196" s="366"/>
      <c r="F196" s="505" t="str">
        <f>IF(F194=MIN($B$194:$I$194),"Eje más bajo",IF(F194=MAX($B194:$I194),"Eje más alto","Eje"))</f>
        <v>Eje más bajo</v>
      </c>
      <c r="G196" s="366"/>
      <c r="H196" s="505" t="str">
        <f>IF(H194=MIN($B$194:$I$194),"Eje más bajo",IF(H194=MAX($B194:$I194),"Eje más alto","Eje"))</f>
        <v>Eje más bajo</v>
      </c>
      <c r="I196" s="517"/>
      <c r="J196" s="518" t="str">
        <f>IF(J170&gt;H172,"Sobre Media","Bajo Media")</f>
        <v>Bajo Media</v>
      </c>
      <c r="L196" s="488"/>
      <c r="M196" s="446"/>
      <c r="O196" s="488"/>
      <c r="P196" s="446"/>
      <c r="U196" s="71"/>
      <c r="X196" s="61"/>
      <c r="AB196" s="68"/>
      <c r="AD196" s="18"/>
      <c r="AG196" s="45"/>
      <c r="AH196" s="57"/>
      <c r="AI196" s="18"/>
      <c r="AJ196" s="18"/>
      <c r="AK196" s="18"/>
      <c r="AL196" s="18"/>
    </row>
    <row r="197" spans="2:38" ht="17.25" customHeight="1" x14ac:dyDescent="0.25">
      <c r="B197" s="513" t="str">
        <f>IF(B194&gt;$H$172,"Sobre Media","Bajo Media")</f>
        <v>Bajo Media</v>
      </c>
      <c r="C197" s="372"/>
      <c r="D197" s="513" t="str">
        <f>IF(D194&gt;$H$172,"Sobre Media","Bajo Media")</f>
        <v>Bajo Media</v>
      </c>
      <c r="E197" s="372"/>
      <c r="F197" s="513" t="str">
        <f>IF(F194&gt;$H$172,"Sobre Media","Bajo Media")</f>
        <v>Bajo Media</v>
      </c>
      <c r="G197" s="372"/>
      <c r="H197" s="513" t="str">
        <f>IF(H194&gt;$H$172,"Sobre Media","Bajo Media")</f>
        <v>Bajo Media</v>
      </c>
      <c r="I197" s="436"/>
      <c r="J197" s="519"/>
      <c r="L197" s="489"/>
      <c r="M197" s="446"/>
      <c r="O197" s="489"/>
      <c r="P197" s="446"/>
      <c r="Q197" s="424" t="s">
        <v>475</v>
      </c>
      <c r="R197" s="365"/>
      <c r="S197" s="365"/>
      <c r="T197" s="366"/>
      <c r="U197" s="71"/>
      <c r="X197" s="61"/>
      <c r="AB197" s="68"/>
      <c r="AD197" s="18"/>
      <c r="AG197" s="45"/>
      <c r="AH197" s="57"/>
      <c r="AI197" s="18"/>
      <c r="AJ197" s="18"/>
      <c r="AK197" s="18"/>
      <c r="AL197" s="18"/>
    </row>
    <row r="198" spans="2:38" ht="17.25" customHeight="1" x14ac:dyDescent="0.25">
      <c r="B198" s="514" t="s">
        <v>479</v>
      </c>
      <c r="C198" s="371"/>
      <c r="D198" s="463"/>
      <c r="E198" s="135">
        <f>MAX(B194:I194)</f>
        <v>0</v>
      </c>
      <c r="F198" s="111"/>
      <c r="G198" s="111"/>
      <c r="H198" s="111"/>
      <c r="I198" s="136"/>
      <c r="J198" s="111"/>
      <c r="K198" s="549"/>
      <c r="L198" s="446"/>
      <c r="M198" s="446"/>
      <c r="N198" s="549"/>
      <c r="O198" s="446"/>
      <c r="P198" s="446"/>
      <c r="Q198" s="415" t="s">
        <v>478</v>
      </c>
      <c r="R198" s="398"/>
      <c r="S198" s="398"/>
      <c r="T198" s="399"/>
      <c r="U198" s="71"/>
      <c r="X198" s="61"/>
      <c r="AB198" s="68"/>
      <c r="AD198" s="18"/>
      <c r="AG198" s="45"/>
      <c r="AH198" s="57"/>
      <c r="AI198" s="18"/>
      <c r="AJ198" s="18"/>
      <c r="AK198" s="18"/>
      <c r="AL198" s="18"/>
    </row>
    <row r="199" spans="2:38" ht="17.25" customHeight="1" x14ac:dyDescent="0.25">
      <c r="B199" s="515" t="s">
        <v>482</v>
      </c>
      <c r="C199" s="398"/>
      <c r="D199" s="516"/>
      <c r="E199" s="127">
        <f>MIN(B194:I194)</f>
        <v>0</v>
      </c>
      <c r="F199" s="111"/>
      <c r="G199" s="111"/>
      <c r="H199" s="111"/>
      <c r="I199" s="111"/>
      <c r="J199" s="111"/>
      <c r="K199" s="550"/>
      <c r="L199" s="446"/>
      <c r="M199" s="446"/>
      <c r="N199" s="446"/>
      <c r="O199" s="446"/>
      <c r="P199" s="446"/>
      <c r="Q199" s="310" t="s">
        <v>453</v>
      </c>
      <c r="R199" s="541" t="s">
        <v>534</v>
      </c>
      <c r="S199" s="529"/>
      <c r="T199" s="530"/>
      <c r="X199" s="61"/>
      <c r="AB199" s="68"/>
      <c r="AD199" s="18"/>
      <c r="AG199" s="45"/>
      <c r="AH199" s="57"/>
      <c r="AI199" s="18"/>
      <c r="AJ199" s="18"/>
      <c r="AK199" s="18"/>
      <c r="AL199" s="18"/>
    </row>
    <row r="200" spans="2:38" ht="17.25" customHeight="1" x14ac:dyDescent="0.25">
      <c r="B200" s="515" t="s">
        <v>484</v>
      </c>
      <c r="C200" s="398"/>
      <c r="D200" s="516"/>
      <c r="E200" s="143">
        <f>+E198-E199</f>
        <v>0</v>
      </c>
      <c r="F200" s="506" t="str">
        <f>+IF(E200&lt;=3.5,"Trabajar un poco",IF(E200&gt;7,"Trabajar mucho","Trabajo moderado"))</f>
        <v>Trabajar un poco</v>
      </c>
      <c r="G200" s="398"/>
      <c r="H200" s="399"/>
      <c r="I200" s="144"/>
      <c r="J200" s="144"/>
      <c r="K200" s="548"/>
      <c r="L200" s="446"/>
      <c r="M200" s="446"/>
      <c r="N200" s="446"/>
      <c r="O200" s="446"/>
      <c r="P200" s="446"/>
      <c r="Q200" s="139">
        <v>2</v>
      </c>
      <c r="R200" s="140">
        <f>+C170</f>
        <v>0</v>
      </c>
      <c r="S200" s="141" t="s">
        <v>420</v>
      </c>
      <c r="T200" s="142">
        <f>SUM(R200:R202)</f>
        <v>0</v>
      </c>
      <c r="U200" s="71"/>
      <c r="X200" s="61"/>
      <c r="AB200" s="68"/>
      <c r="AD200" s="18"/>
      <c r="AG200" s="45"/>
      <c r="AH200" s="57"/>
      <c r="AI200" s="18"/>
      <c r="AJ200" s="18"/>
      <c r="AK200" s="18"/>
      <c r="AL200" s="18"/>
    </row>
    <row r="201" spans="2:38" ht="17.25" customHeight="1" x14ac:dyDescent="0.25">
      <c r="B201" s="492" t="s">
        <v>486</v>
      </c>
      <c r="C201" s="398"/>
      <c r="D201" s="398"/>
      <c r="E201" s="398"/>
      <c r="F201" s="398"/>
      <c r="G201" s="398"/>
      <c r="H201" s="398"/>
      <c r="I201" s="398"/>
      <c r="J201" s="398"/>
      <c r="K201" s="398"/>
      <c r="L201" s="399"/>
      <c r="M201" s="61"/>
      <c r="Q201" s="139">
        <v>3</v>
      </c>
      <c r="R201" s="140">
        <f>+D170</f>
        <v>0</v>
      </c>
      <c r="S201" s="145" t="s">
        <v>485</v>
      </c>
      <c r="T201" s="146" t="e">
        <f>+T200/$AI$82</f>
        <v>#DIV/0!</v>
      </c>
      <c r="X201" s="61"/>
      <c r="AB201" s="68"/>
      <c r="AC201" s="111"/>
      <c r="AD201" s="18"/>
      <c r="AG201" s="45"/>
      <c r="AH201" s="57"/>
      <c r="AI201" s="57"/>
      <c r="AJ201" s="18"/>
      <c r="AK201" s="18"/>
      <c r="AL201" s="18"/>
    </row>
    <row r="202" spans="2:38" ht="17.25" customHeight="1" x14ac:dyDescent="0.25">
      <c r="B202" s="151" t="s">
        <v>453</v>
      </c>
      <c r="C202" s="507" t="s">
        <v>488</v>
      </c>
      <c r="D202" s="374"/>
      <c r="E202" s="375"/>
      <c r="F202" s="152" t="s">
        <v>453</v>
      </c>
      <c r="G202" s="508" t="s">
        <v>489</v>
      </c>
      <c r="H202" s="374"/>
      <c r="I202" s="375"/>
      <c r="J202" s="509" t="s">
        <v>453</v>
      </c>
      <c r="K202" s="511" t="s">
        <v>535</v>
      </c>
      <c r="L202" s="427"/>
      <c r="M202" s="61"/>
      <c r="P202" s="138"/>
      <c r="Q202" s="147">
        <v>4</v>
      </c>
      <c r="R202" s="148">
        <f>+E170</f>
        <v>0</v>
      </c>
      <c r="S202" s="149" t="s">
        <v>487</v>
      </c>
      <c r="T202" s="150" t="e">
        <f>IF(T201=MIN($T$201,$T$205,$T$209),"MENOR",IF(T201=MAX($T$201,$T$205,$T$209),"MAYOR","MEDIO"))</f>
        <v>#DIV/0!</v>
      </c>
      <c r="X202" s="61"/>
      <c r="AB202" s="68"/>
      <c r="AC202" s="111"/>
      <c r="AD202" s="18"/>
      <c r="AG202" s="45"/>
      <c r="AH202" s="57"/>
      <c r="AI202" s="57"/>
      <c r="AJ202" s="18"/>
      <c r="AK202" s="18"/>
      <c r="AL202" s="18"/>
    </row>
    <row r="203" spans="2:38" ht="17.25" customHeight="1" x14ac:dyDescent="0.25">
      <c r="B203" s="154">
        <v>1</v>
      </c>
      <c r="C203" s="155">
        <f>+B170</f>
        <v>0</v>
      </c>
      <c r="D203" s="156" t="s">
        <v>420</v>
      </c>
      <c r="E203" s="157">
        <f>SUM(C203:C206)</f>
        <v>0</v>
      </c>
      <c r="F203" s="158">
        <v>4</v>
      </c>
      <c r="G203" s="155">
        <f>+E170</f>
        <v>0</v>
      </c>
      <c r="H203" s="159" t="s">
        <v>420</v>
      </c>
      <c r="I203" s="160">
        <f>SUM(G203:G206)</f>
        <v>0</v>
      </c>
      <c r="J203" s="510"/>
      <c r="K203" s="450"/>
      <c r="L203" s="512"/>
      <c r="M203" s="61"/>
      <c r="P203" s="311"/>
      <c r="Q203" s="153" t="s">
        <v>453</v>
      </c>
      <c r="R203" s="524" t="s">
        <v>536</v>
      </c>
      <c r="S203" s="374"/>
      <c r="T203" s="375"/>
      <c r="X203" s="61"/>
      <c r="AB203" s="68"/>
      <c r="AC203" s="111"/>
      <c r="AD203" s="18"/>
      <c r="AG203" s="45"/>
      <c r="AH203" s="57"/>
      <c r="AI203" s="57"/>
      <c r="AJ203" s="18"/>
      <c r="AK203" s="18"/>
      <c r="AL203" s="18"/>
    </row>
    <row r="204" spans="2:38" ht="17.25" customHeight="1" x14ac:dyDescent="0.25">
      <c r="B204" s="154">
        <v>2</v>
      </c>
      <c r="C204" s="155">
        <f>+C170</f>
        <v>0</v>
      </c>
      <c r="D204" s="163" t="s">
        <v>492</v>
      </c>
      <c r="E204" s="164">
        <f>+E203/4</f>
        <v>0</v>
      </c>
      <c r="F204" s="158">
        <v>5</v>
      </c>
      <c r="G204" s="155">
        <f>+F170</f>
        <v>0</v>
      </c>
      <c r="H204" s="165" t="s">
        <v>492</v>
      </c>
      <c r="I204" s="166">
        <f>+I203/4</f>
        <v>0</v>
      </c>
      <c r="J204" s="167">
        <v>9</v>
      </c>
      <c r="K204" s="168" t="s">
        <v>493</v>
      </c>
      <c r="L204" s="166">
        <f>+J170</f>
        <v>0</v>
      </c>
      <c r="M204" s="61"/>
      <c r="Q204" s="161">
        <v>5</v>
      </c>
      <c r="R204" s="140">
        <f>+F170</f>
        <v>0</v>
      </c>
      <c r="S204" s="162" t="s">
        <v>420</v>
      </c>
      <c r="T204" s="142">
        <f>SUM(R204:R206)</f>
        <v>0</v>
      </c>
      <c r="X204" s="61"/>
      <c r="AB204" s="18"/>
      <c r="AC204" s="57"/>
      <c r="AD204" s="18"/>
      <c r="AG204" s="45"/>
      <c r="AH204" s="57"/>
      <c r="AI204" s="57"/>
      <c r="AJ204" s="18"/>
      <c r="AK204" s="18"/>
      <c r="AL204" s="18"/>
    </row>
    <row r="205" spans="2:38" ht="17.25" customHeight="1" x14ac:dyDescent="0.25">
      <c r="B205" s="154">
        <v>3</v>
      </c>
      <c r="C205" s="155">
        <f>+D170</f>
        <v>0</v>
      </c>
      <c r="D205" s="170" t="s">
        <v>485</v>
      </c>
      <c r="E205" s="171" t="e">
        <f>+E204/(+$E$204+$I$204+$L$204)</f>
        <v>#DIV/0!</v>
      </c>
      <c r="F205" s="158">
        <v>6</v>
      </c>
      <c r="G205" s="48">
        <f>+G170</f>
        <v>0</v>
      </c>
      <c r="H205" s="172" t="s">
        <v>485</v>
      </c>
      <c r="I205" s="146" t="e">
        <f>+I204/(+$E$204+$I$204+$L$204)</f>
        <v>#DIV/0!</v>
      </c>
      <c r="J205" s="4"/>
      <c r="K205" s="173" t="s">
        <v>485</v>
      </c>
      <c r="L205" s="146" t="e">
        <f>+L204/(+$E$204+$I$204+$L$204)</f>
        <v>#DIV/0!</v>
      </c>
      <c r="M205" s="61"/>
      <c r="Q205" s="161">
        <v>6</v>
      </c>
      <c r="R205" s="140">
        <f>+G170</f>
        <v>0</v>
      </c>
      <c r="S205" s="169" t="s">
        <v>485</v>
      </c>
      <c r="T205" s="146" t="e">
        <f>+T204/$AI$82</f>
        <v>#DIV/0!</v>
      </c>
      <c r="X205" s="61"/>
      <c r="AB205" s="68"/>
      <c r="AC205" s="111"/>
      <c r="AD205" s="18"/>
      <c r="AE205" s="57"/>
      <c r="AG205" s="45"/>
      <c r="AH205" s="57"/>
      <c r="AI205" s="57"/>
      <c r="AJ205" s="18"/>
      <c r="AK205" s="18"/>
      <c r="AL205" s="18"/>
    </row>
    <row r="206" spans="2:38" ht="17.25" customHeight="1" x14ac:dyDescent="0.25">
      <c r="B206" s="176">
        <v>8</v>
      </c>
      <c r="C206" s="177">
        <f>+I170</f>
        <v>0</v>
      </c>
      <c r="D206" s="178" t="s">
        <v>487</v>
      </c>
      <c r="E206" s="179" t="str">
        <f>IF(E204=MIN($E$204,$I$204,$L$204),"MENOR",IF(E204=MAX($E$204,$I$204,$L$204),"MAYOR","MEDIO"))</f>
        <v>MENOR</v>
      </c>
      <c r="F206" s="180">
        <v>7</v>
      </c>
      <c r="G206" s="181">
        <f>+H170</f>
        <v>0</v>
      </c>
      <c r="H206" s="182" t="s">
        <v>487</v>
      </c>
      <c r="I206" s="179" t="str">
        <f>IF(I204=MIN($E$204,$I$204,$L$204),"MENOR",IF(I204=MAX($E$204,$I$204,$L$204),"MAYOR","MEDIO"))</f>
        <v>MENOR</v>
      </c>
      <c r="J206" s="183"/>
      <c r="K206" s="184" t="s">
        <v>487</v>
      </c>
      <c r="L206" s="185" t="str">
        <f>IF(L204=MIN($E$204,$I$204,$L$204),"MENOR",IF(L204=MAX($E$204,$I$204,$L$204),"MAYOR","MEDIO"))</f>
        <v>MENOR</v>
      </c>
      <c r="M206" s="61"/>
      <c r="Q206" s="174">
        <v>7</v>
      </c>
      <c r="R206" s="148">
        <f>+H170</f>
        <v>0</v>
      </c>
      <c r="S206" s="175" t="s">
        <v>487</v>
      </c>
      <c r="T206" s="150" t="e">
        <f>IF(T205=MIN($T$201,$T$205,$T$209),"MENOR",IF(T205=MAX($T$201,$T$205,$T$209),"MAYOR","MEDIO"))</f>
        <v>#DIV/0!</v>
      </c>
      <c r="V206" s="18"/>
      <c r="X206" s="61"/>
      <c r="AB206" s="18"/>
      <c r="AC206" s="111"/>
      <c r="AD206" s="18"/>
      <c r="AE206" s="57"/>
      <c r="AG206" s="4"/>
      <c r="AH206" s="4"/>
      <c r="AI206" s="57"/>
      <c r="AJ206" s="18"/>
      <c r="AK206" s="18"/>
      <c r="AL206" s="18"/>
    </row>
    <row r="207" spans="2:38" ht="17.25" customHeight="1" x14ac:dyDescent="0.25">
      <c r="B207" s="61"/>
      <c r="M207" s="61"/>
      <c r="Q207" s="186" t="s">
        <v>453</v>
      </c>
      <c r="R207" s="420" t="s">
        <v>537</v>
      </c>
      <c r="S207" s="374"/>
      <c r="T207" s="375"/>
      <c r="V207" s="18"/>
      <c r="X207" s="61"/>
      <c r="AB207" s="68"/>
      <c r="AD207" s="18"/>
      <c r="AG207" s="45"/>
      <c r="AH207" s="57"/>
      <c r="AI207" s="57"/>
      <c r="AK207" s="18"/>
      <c r="AL207" s="18"/>
    </row>
    <row r="208" spans="2:38" ht="17.25" customHeight="1" x14ac:dyDescent="0.25">
      <c r="B208" s="492" t="s">
        <v>495</v>
      </c>
      <c r="C208" s="398"/>
      <c r="D208" s="398"/>
      <c r="E208" s="398"/>
      <c r="F208" s="398"/>
      <c r="G208" s="398"/>
      <c r="H208" s="398"/>
      <c r="I208" s="398"/>
      <c r="J208" s="398"/>
      <c r="K208" s="398"/>
      <c r="L208" s="398"/>
      <c r="M208" s="398"/>
      <c r="N208" s="398"/>
      <c r="O208" s="399"/>
      <c r="Q208" s="187">
        <v>8</v>
      </c>
      <c r="R208" s="140">
        <f>+I170</f>
        <v>0</v>
      </c>
      <c r="S208" s="188" t="s">
        <v>420</v>
      </c>
      <c r="T208" s="142">
        <f>SUM(R208:R210)</f>
        <v>0</v>
      </c>
      <c r="V208" s="18"/>
      <c r="X208" s="61"/>
      <c r="AB208" s="68"/>
      <c r="AD208" s="18"/>
      <c r="AG208" s="45"/>
      <c r="AH208" s="57"/>
      <c r="AI208" s="57"/>
      <c r="AK208" s="18"/>
      <c r="AL208" s="18"/>
    </row>
    <row r="209" spans="1:51" ht="17.25" customHeight="1" x14ac:dyDescent="0.25">
      <c r="B209" s="525" t="s">
        <v>496</v>
      </c>
      <c r="C209" s="371"/>
      <c r="D209" s="371"/>
      <c r="E209" s="371"/>
      <c r="F209" s="371"/>
      <c r="G209" s="371"/>
      <c r="H209" s="371"/>
      <c r="I209" s="371"/>
      <c r="J209" s="371"/>
      <c r="K209" s="371"/>
      <c r="L209" s="371"/>
      <c r="M209" s="371"/>
      <c r="N209" s="371"/>
      <c r="O209" s="372"/>
      <c r="Q209" s="187">
        <v>9</v>
      </c>
      <c r="R209" s="140">
        <f>+J170</f>
        <v>0</v>
      </c>
      <c r="S209" s="189" t="s">
        <v>485</v>
      </c>
      <c r="T209" s="146" t="e">
        <f>+T208/$AI$82</f>
        <v>#DIV/0!</v>
      </c>
      <c r="V209" s="18"/>
      <c r="X209" s="61"/>
      <c r="AB209" s="68"/>
      <c r="AD209" s="18"/>
      <c r="AG209" s="45"/>
      <c r="AH209" s="57"/>
      <c r="AI209" s="57"/>
      <c r="AK209" s="18"/>
      <c r="AL209" s="18"/>
    </row>
    <row r="210" spans="1:51" ht="17.25" customHeight="1" x14ac:dyDescent="0.25">
      <c r="A210" s="18"/>
      <c r="B210" s="527" t="s">
        <v>497</v>
      </c>
      <c r="C210" s="427"/>
      <c r="D210" s="528" t="s">
        <v>498</v>
      </c>
      <c r="E210" s="529"/>
      <c r="F210" s="530"/>
      <c r="G210" s="531" t="s">
        <v>499</v>
      </c>
      <c r="H210" s="529"/>
      <c r="I210" s="530"/>
      <c r="J210" s="532" t="s">
        <v>500</v>
      </c>
      <c r="K210" s="529"/>
      <c r="L210" s="530"/>
      <c r="M210" s="527" t="s">
        <v>501</v>
      </c>
      <c r="N210" s="426"/>
      <c r="O210" s="427"/>
      <c r="P210" s="18"/>
      <c r="Q210" s="190">
        <v>1</v>
      </c>
      <c r="R210" s="148">
        <f>+B170</f>
        <v>0</v>
      </c>
      <c r="S210" s="191" t="s">
        <v>487</v>
      </c>
      <c r="T210" s="150" t="e">
        <f>IF(T209=MIN($T$201,$T$205,$T$209),"MENOR",IF(T209=MAX($T$201,$T$205,$T$209),"MAYOR","MEDIO"))</f>
        <v>#DIV/0!</v>
      </c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</row>
    <row r="211" spans="1:51" ht="17.25" customHeight="1" x14ac:dyDescent="0.25">
      <c r="A211" s="18"/>
      <c r="B211" s="394"/>
      <c r="C211" s="430"/>
      <c r="D211" s="192" t="s">
        <v>453</v>
      </c>
      <c r="E211" s="193" t="s">
        <v>493</v>
      </c>
      <c r="F211" s="194" t="s">
        <v>487</v>
      </c>
      <c r="G211" s="195" t="s">
        <v>453</v>
      </c>
      <c r="H211" s="196" t="s">
        <v>493</v>
      </c>
      <c r="I211" s="197" t="s">
        <v>487</v>
      </c>
      <c r="J211" s="198" t="s">
        <v>453</v>
      </c>
      <c r="K211" s="199" t="s">
        <v>493</v>
      </c>
      <c r="L211" s="200" t="s">
        <v>487</v>
      </c>
      <c r="M211" s="394"/>
      <c r="N211" s="429"/>
      <c r="O211" s="430"/>
      <c r="P211" s="18"/>
      <c r="Q211" s="416" t="s">
        <v>502</v>
      </c>
      <c r="R211" s="365"/>
      <c r="S211" s="365"/>
      <c r="T211" s="366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</row>
    <row r="212" spans="1:51" ht="17.25" customHeight="1" x14ac:dyDescent="0.25">
      <c r="A212" s="18"/>
      <c r="B212" s="412" t="s">
        <v>503</v>
      </c>
      <c r="C212" s="413"/>
      <c r="D212" s="201">
        <v>8</v>
      </c>
      <c r="E212" s="202">
        <f>+I170</f>
        <v>0</v>
      </c>
      <c r="F212" s="203" t="str">
        <f t="shared" ref="F212:F214" si="14">IF(E212=MIN($E$212:$E$214),"Menor",IF(E212=MAX($E$212:$E$214),"Mayor","Medio"))</f>
        <v>Menor</v>
      </c>
      <c r="G212" s="204">
        <v>2</v>
      </c>
      <c r="H212" s="205">
        <f>+C170</f>
        <v>0</v>
      </c>
      <c r="I212" s="203" t="str">
        <f t="shared" ref="I212:I214" si="15">IF(H212=MIN($H$212:$H$214),"Menor",IF(H212=MAX($H$212:$H$214),"Mayor","Medio"))</f>
        <v>Menor</v>
      </c>
      <c r="J212" s="206">
        <v>5</v>
      </c>
      <c r="K212" s="202">
        <f>+F170</f>
        <v>0</v>
      </c>
      <c r="L212" s="203" t="str">
        <f t="shared" ref="L212:L214" si="16">IF(K212=MIN($K$212:$K$214),"Menor",IF(K212=MAX($K$212:$K$214),"Mayor","Medio"))</f>
        <v>Menor</v>
      </c>
      <c r="M212" s="207">
        <f t="shared" ref="M212:M214" si="17">+E212+H212+K212</f>
        <v>0</v>
      </c>
      <c r="N212" s="208" t="e">
        <f t="shared" ref="N212:N214" si="18">+M212/$AI$82</f>
        <v>#DIV/0!</v>
      </c>
      <c r="O212" s="209" t="e">
        <f t="shared" ref="O212:O214" si="19">IF(N212=MIN($N$212:$N$214),"MENOR",IF(N212=MAX($N$212:$N$214),"MAYOR","MEDIO"))</f>
        <v>#DIV/0!</v>
      </c>
      <c r="P212" s="18"/>
      <c r="Q212" s="210" t="s">
        <v>453</v>
      </c>
      <c r="R212" s="526" t="s">
        <v>504</v>
      </c>
      <c r="S212" s="374"/>
      <c r="T212" s="375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</row>
    <row r="213" spans="1:51" ht="17.25" customHeight="1" x14ac:dyDescent="0.25">
      <c r="A213" s="18"/>
      <c r="B213" s="412" t="s">
        <v>505</v>
      </c>
      <c r="C213" s="413"/>
      <c r="D213" s="201">
        <v>9</v>
      </c>
      <c r="E213" s="202">
        <f>+J170</f>
        <v>0</v>
      </c>
      <c r="F213" s="203" t="str">
        <f t="shared" si="14"/>
        <v>Menor</v>
      </c>
      <c r="G213" s="204">
        <v>3</v>
      </c>
      <c r="H213" s="202">
        <f>+D170</f>
        <v>0</v>
      </c>
      <c r="I213" s="203" t="str">
        <f t="shared" si="15"/>
        <v>Menor</v>
      </c>
      <c r="J213" s="206">
        <v>6</v>
      </c>
      <c r="K213" s="202">
        <f>+G170</f>
        <v>0</v>
      </c>
      <c r="L213" s="203" t="str">
        <f t="shared" si="16"/>
        <v>Menor</v>
      </c>
      <c r="M213" s="211">
        <f t="shared" si="17"/>
        <v>0</v>
      </c>
      <c r="N213" s="212" t="e">
        <f t="shared" si="18"/>
        <v>#DIV/0!</v>
      </c>
      <c r="O213" s="213" t="e">
        <f t="shared" si="19"/>
        <v>#DIV/0!</v>
      </c>
      <c r="P213" s="18"/>
      <c r="Q213" s="214">
        <v>1</v>
      </c>
      <c r="R213" s="140">
        <f>+B170</f>
        <v>0</v>
      </c>
      <c r="S213" s="215" t="s">
        <v>420</v>
      </c>
      <c r="T213" s="142">
        <f>SUM(R213:R215)</f>
        <v>0</v>
      </c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</row>
    <row r="214" spans="1:51" ht="17.25" customHeight="1" x14ac:dyDescent="0.25">
      <c r="A214" s="18"/>
      <c r="B214" s="412" t="s">
        <v>506</v>
      </c>
      <c r="C214" s="413"/>
      <c r="D214" s="201">
        <v>1</v>
      </c>
      <c r="E214" s="202">
        <f>+B170</f>
        <v>0</v>
      </c>
      <c r="F214" s="203" t="str">
        <f t="shared" si="14"/>
        <v>Menor</v>
      </c>
      <c r="G214" s="204">
        <v>4</v>
      </c>
      <c r="H214" s="202">
        <f>+E170</f>
        <v>0</v>
      </c>
      <c r="I214" s="203" t="str">
        <f t="shared" si="15"/>
        <v>Menor</v>
      </c>
      <c r="J214" s="206">
        <v>7</v>
      </c>
      <c r="K214" s="202">
        <f>+H170</f>
        <v>0</v>
      </c>
      <c r="L214" s="203" t="str">
        <f t="shared" si="16"/>
        <v>Menor</v>
      </c>
      <c r="M214" s="211">
        <f t="shared" si="17"/>
        <v>0</v>
      </c>
      <c r="N214" s="212" t="e">
        <f t="shared" si="18"/>
        <v>#DIV/0!</v>
      </c>
      <c r="O214" s="213" t="e">
        <f t="shared" si="19"/>
        <v>#DIV/0!</v>
      </c>
      <c r="P214" s="18"/>
      <c r="Q214" s="214">
        <v>3</v>
      </c>
      <c r="R214" s="140">
        <f>+D170</f>
        <v>0</v>
      </c>
      <c r="S214" s="216" t="s">
        <v>485</v>
      </c>
      <c r="T214" s="146" t="e">
        <f>+T213/$AI$82</f>
        <v>#DIV/0!</v>
      </c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</row>
    <row r="215" spans="1:51" ht="17.25" customHeight="1" x14ac:dyDescent="0.25">
      <c r="A215" s="18"/>
      <c r="B215" s="217"/>
      <c r="C215" s="218"/>
      <c r="D215" s="219" t="s">
        <v>420</v>
      </c>
      <c r="E215" s="220">
        <f>SUM(E212:E214)</f>
        <v>0</v>
      </c>
      <c r="F215" s="221"/>
      <c r="G215" s="222" t="s">
        <v>420</v>
      </c>
      <c r="H215" s="220">
        <f>SUM(H212:H214)</f>
        <v>0</v>
      </c>
      <c r="I215" s="18"/>
      <c r="J215" s="223" t="s">
        <v>420</v>
      </c>
      <c r="K215" s="220">
        <f>SUM(K212:K214)</f>
        <v>0</v>
      </c>
      <c r="L215" s="224"/>
      <c r="M215" s="225"/>
      <c r="N215" s="225"/>
      <c r="O215" s="18"/>
      <c r="P215" s="18"/>
      <c r="Q215" s="226">
        <v>7</v>
      </c>
      <c r="R215" s="148">
        <f>+H170</f>
        <v>0</v>
      </c>
      <c r="S215" s="227" t="s">
        <v>487</v>
      </c>
      <c r="T215" s="150" t="e">
        <f>IF(T214=MIN($T$214,$T$218,$T$222),"MENOR",IF(T214=MAX($T$214,$T$218,$T$222),"MAYOR","MEDIO"))</f>
        <v>#DIV/0!</v>
      </c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</row>
    <row r="216" spans="1:51" ht="17.25" customHeight="1" x14ac:dyDescent="0.25">
      <c r="A216" s="18"/>
      <c r="B216" s="18"/>
      <c r="C216" s="228"/>
      <c r="D216" s="229" t="s">
        <v>485</v>
      </c>
      <c r="E216" s="146" t="e">
        <f>+E215/$AI$82</f>
        <v>#DIV/0!</v>
      </c>
      <c r="F216" s="230"/>
      <c r="G216" s="231" t="s">
        <v>485</v>
      </c>
      <c r="H216" s="146" t="e">
        <f>+H215/$AI$82</f>
        <v>#DIV/0!</v>
      </c>
      <c r="I216" s="232"/>
      <c r="J216" s="233" t="s">
        <v>485</v>
      </c>
      <c r="K216" s="146" t="e">
        <f>+K215/$AI$82</f>
        <v>#DIV/0!</v>
      </c>
      <c r="L216" s="18"/>
      <c r="M216" s="18"/>
      <c r="N216" s="18"/>
      <c r="O216" s="18"/>
      <c r="P216" s="18"/>
      <c r="Q216" s="234" t="s">
        <v>453</v>
      </c>
      <c r="R216" s="414" t="s">
        <v>538</v>
      </c>
      <c r="S216" s="374"/>
      <c r="T216" s="375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57"/>
      <c r="AI216" s="57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</row>
    <row r="217" spans="1:51" ht="17.25" customHeight="1" x14ac:dyDescent="0.25">
      <c r="A217" s="18"/>
      <c r="B217" s="18"/>
      <c r="C217" s="228"/>
      <c r="D217" s="235" t="s">
        <v>487</v>
      </c>
      <c r="E217" s="150" t="e">
        <f>IF(E216=MIN($E$216,$H$216,$K$216),"MENOR",IF(E216=MAX($E$216,$H$216,$K$216),"MAYOR","MEDIO"))</f>
        <v>#DIV/0!</v>
      </c>
      <c r="F217" s="236"/>
      <c r="G217" s="237" t="s">
        <v>487</v>
      </c>
      <c r="H217" s="150" t="e">
        <f>IF(H216=MIN($E$216,$H$216,$K$216),"MENOR",IF(H216=MAX($E$216,$H$216,$K$216),"MAYOR","MEDIO"))</f>
        <v>#DIV/0!</v>
      </c>
      <c r="I217" s="236"/>
      <c r="J217" s="238" t="s">
        <v>487</v>
      </c>
      <c r="K217" s="150" t="e">
        <f>IF(K216=MIN($E$216,$H$216,$K$216),"MENOR",IF(K216=MAX($E$216,$H$216,$K$216),"MAYOR","MEDIO"))</f>
        <v>#DIV/0!</v>
      </c>
      <c r="L217" s="239"/>
      <c r="M217" s="71"/>
      <c r="N217" s="71"/>
      <c r="O217" s="18"/>
      <c r="P217" s="18"/>
      <c r="Q217" s="240">
        <v>2</v>
      </c>
      <c r="R217" s="140">
        <f>+C170</f>
        <v>0</v>
      </c>
      <c r="S217" s="241" t="s">
        <v>420</v>
      </c>
      <c r="T217" s="142">
        <f>SUM(R217:R219)</f>
        <v>0</v>
      </c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57"/>
      <c r="AI217" s="57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</row>
    <row r="218" spans="1:51" ht="17.25" customHeight="1" x14ac:dyDescent="0.25">
      <c r="A218" s="18"/>
      <c r="B218" s="18"/>
      <c r="C218" s="415" t="s">
        <v>508</v>
      </c>
      <c r="D218" s="398"/>
      <c r="E218" s="398"/>
      <c r="F218" s="399"/>
      <c r="G218" s="416" t="s">
        <v>509</v>
      </c>
      <c r="H218" s="365"/>
      <c r="I218" s="365"/>
      <c r="J218" s="366"/>
      <c r="K218" s="416" t="s">
        <v>510</v>
      </c>
      <c r="L218" s="365"/>
      <c r="M218" s="365"/>
      <c r="N218" s="366"/>
      <c r="O218" s="18"/>
      <c r="P218" s="18"/>
      <c r="Q218" s="240">
        <v>5</v>
      </c>
      <c r="R218" s="140">
        <f>+F170</f>
        <v>0</v>
      </c>
      <c r="S218" s="242" t="s">
        <v>485</v>
      </c>
      <c r="T218" s="146" t="e">
        <f>+T217/$AI$82</f>
        <v>#DIV/0!</v>
      </c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</row>
    <row r="219" spans="1:51" ht="17.25" customHeight="1" x14ac:dyDescent="0.25">
      <c r="A219" s="18"/>
      <c r="B219" s="18"/>
      <c r="C219" s="243" t="s">
        <v>453</v>
      </c>
      <c r="D219" s="417" t="s">
        <v>511</v>
      </c>
      <c r="E219" s="374"/>
      <c r="F219" s="375"/>
      <c r="G219" s="244" t="s">
        <v>453</v>
      </c>
      <c r="H219" s="419" t="s">
        <v>512</v>
      </c>
      <c r="I219" s="374"/>
      <c r="J219" s="375"/>
      <c r="K219" s="186" t="s">
        <v>453</v>
      </c>
      <c r="L219" s="420" t="s">
        <v>513</v>
      </c>
      <c r="M219" s="374"/>
      <c r="N219" s="375"/>
      <c r="O219" s="18"/>
      <c r="P219" s="18"/>
      <c r="Q219" s="245">
        <v>9</v>
      </c>
      <c r="R219" s="148">
        <f>+J170</f>
        <v>0</v>
      </c>
      <c r="S219" s="246" t="s">
        <v>487</v>
      </c>
      <c r="T219" s="150" t="e">
        <f>IF(T218=MIN($T$214,$T$218,$T$222),"MENOR",IF(T218=MAX($T$214,$T$218,$T$222),"MAYOR","MEDIO"))</f>
        <v>#DIV/0!</v>
      </c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</row>
    <row r="220" spans="1:51" ht="17.25" customHeight="1" x14ac:dyDescent="0.25">
      <c r="A220" s="18"/>
      <c r="B220" s="18"/>
      <c r="C220" s="247">
        <v>1</v>
      </c>
      <c r="D220" s="48">
        <f>+B170</f>
        <v>0</v>
      </c>
      <c r="E220" s="248" t="s">
        <v>420</v>
      </c>
      <c r="F220" s="142">
        <f>SUM(D220:D222)</f>
        <v>0</v>
      </c>
      <c r="G220" s="249">
        <v>3</v>
      </c>
      <c r="H220" s="48">
        <f>+D170</f>
        <v>0</v>
      </c>
      <c r="I220" s="250" t="s">
        <v>420</v>
      </c>
      <c r="J220" s="142">
        <f>SUM(H220:H222)</f>
        <v>0</v>
      </c>
      <c r="K220" s="251">
        <v>6</v>
      </c>
      <c r="L220" s="48">
        <f>+G170</f>
        <v>0</v>
      </c>
      <c r="M220" s="188" t="s">
        <v>420</v>
      </c>
      <c r="N220" s="142">
        <f>SUM(L220:L222)</f>
        <v>0</v>
      </c>
      <c r="O220" s="18"/>
      <c r="P220" s="18"/>
      <c r="Q220" s="252" t="s">
        <v>453</v>
      </c>
      <c r="R220" s="418" t="s">
        <v>514</v>
      </c>
      <c r="S220" s="365"/>
      <c r="T220" s="366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</row>
    <row r="221" spans="1:51" ht="17.25" customHeight="1" x14ac:dyDescent="0.25">
      <c r="A221" s="18"/>
      <c r="B221" s="18"/>
      <c r="C221" s="247">
        <v>3</v>
      </c>
      <c r="D221" s="48">
        <f>+D170</f>
        <v>0</v>
      </c>
      <c r="E221" s="253" t="s">
        <v>485</v>
      </c>
      <c r="F221" s="146" t="e">
        <f>+F220/$AI$82</f>
        <v>#DIV/0!</v>
      </c>
      <c r="G221" s="249">
        <v>7</v>
      </c>
      <c r="H221" s="48">
        <f>+H170</f>
        <v>0</v>
      </c>
      <c r="I221" s="254" t="s">
        <v>485</v>
      </c>
      <c r="J221" s="146" t="e">
        <f>+J220/$AI$82</f>
        <v>#DIV/0!</v>
      </c>
      <c r="K221" s="251">
        <v>4</v>
      </c>
      <c r="L221" s="48">
        <f>+E170</f>
        <v>0</v>
      </c>
      <c r="M221" s="189" t="s">
        <v>485</v>
      </c>
      <c r="N221" s="146" t="e">
        <f>+N220/$AI$82</f>
        <v>#DIV/0!</v>
      </c>
      <c r="O221" s="18"/>
      <c r="P221" s="18"/>
      <c r="Q221" s="255">
        <v>4</v>
      </c>
      <c r="R221" s="140">
        <f>+E170</f>
        <v>0</v>
      </c>
      <c r="S221" s="256" t="s">
        <v>420</v>
      </c>
      <c r="T221" s="142">
        <f>SUM(R221:R223)</f>
        <v>0</v>
      </c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</row>
    <row r="222" spans="1:51" ht="17.25" customHeight="1" x14ac:dyDescent="0.25">
      <c r="A222" s="18"/>
      <c r="B222" s="18"/>
      <c r="C222" s="257">
        <v>8</v>
      </c>
      <c r="D222" s="258">
        <f>+I170</f>
        <v>0</v>
      </c>
      <c r="E222" s="259" t="s">
        <v>487</v>
      </c>
      <c r="F222" s="150" t="e">
        <f>IF(F221=MIN($F$229,$F$225,$F$221),"MENOR",IF(F221=MAX($F$229,$F$225,$F$221),"MAYOR","MEDIO"))</f>
        <v>#DIV/0!</v>
      </c>
      <c r="G222" s="260">
        <v>8</v>
      </c>
      <c r="H222" s="261">
        <f>+I170</f>
        <v>0</v>
      </c>
      <c r="I222" s="262" t="s">
        <v>487</v>
      </c>
      <c r="J222" s="150" t="e">
        <f>IF(J221=MIN($J$221,$J$225,$J$229),"MENOR",IF(J221=MAX($J$221,$J$225,$J$229),"MAYOR","MEDIO"))</f>
        <v>#DIV/0!</v>
      </c>
      <c r="K222" s="263">
        <v>8</v>
      </c>
      <c r="L222" s="261">
        <f>+I170</f>
        <v>0</v>
      </c>
      <c r="M222" s="191" t="s">
        <v>487</v>
      </c>
      <c r="N222" s="150" t="e">
        <f>IF(N221=MIN($N$221,$N$225,$N$229),"MENOR",IF(N221=MAX($N$221,$N$225,$N$229),"MAYOR","MEDIO"))</f>
        <v>#DIV/0!</v>
      </c>
      <c r="O222" s="18"/>
      <c r="P222" s="18"/>
      <c r="Q222" s="255">
        <v>6</v>
      </c>
      <c r="R222" s="140">
        <f>+G170</f>
        <v>0</v>
      </c>
      <c r="S222" s="264" t="s">
        <v>485</v>
      </c>
      <c r="T222" s="146" t="e">
        <f>+T221/$AI$82</f>
        <v>#DIV/0!</v>
      </c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</row>
    <row r="223" spans="1:51" ht="17.25" customHeight="1" x14ac:dyDescent="0.25">
      <c r="A223" s="18"/>
      <c r="B223" s="18"/>
      <c r="C223" s="265" t="s">
        <v>453</v>
      </c>
      <c r="D223" s="421" t="s">
        <v>515</v>
      </c>
      <c r="E223" s="374"/>
      <c r="F223" s="375"/>
      <c r="G223" s="266" t="s">
        <v>453</v>
      </c>
      <c r="H223" s="422" t="s">
        <v>516</v>
      </c>
      <c r="I223" s="374"/>
      <c r="J223" s="375"/>
      <c r="K223" s="267" t="s">
        <v>453</v>
      </c>
      <c r="L223" s="423" t="s">
        <v>517</v>
      </c>
      <c r="M223" s="374"/>
      <c r="N223" s="375"/>
      <c r="O223" s="18"/>
      <c r="P223" s="18"/>
      <c r="Q223" s="268">
        <v>8</v>
      </c>
      <c r="R223" s="148">
        <f>+I170</f>
        <v>0</v>
      </c>
      <c r="S223" s="269" t="s">
        <v>487</v>
      </c>
      <c r="T223" s="150" t="e">
        <f>IF(T222=MIN($T$214,$T$218,$T$222),"MENOR",IF(T222=MAX($T$214,$T$218,$T$222),"MAYOR","MEDIO"))</f>
        <v>#DIV/0!</v>
      </c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</row>
    <row r="224" spans="1:51" ht="17.25" customHeight="1" x14ac:dyDescent="0.25">
      <c r="A224" s="18"/>
      <c r="B224" s="18"/>
      <c r="C224" s="270">
        <v>2</v>
      </c>
      <c r="D224" s="48">
        <f>+C170</f>
        <v>0</v>
      </c>
      <c r="E224" s="271" t="s">
        <v>420</v>
      </c>
      <c r="F224" s="142">
        <f>SUM(D224:D226)</f>
        <v>0</v>
      </c>
      <c r="G224" s="272">
        <v>1</v>
      </c>
      <c r="H224" s="48">
        <f>+B170</f>
        <v>0</v>
      </c>
      <c r="I224" s="273" t="s">
        <v>420</v>
      </c>
      <c r="J224" s="142">
        <f>SUM(H224:H226)</f>
        <v>0</v>
      </c>
      <c r="K224" s="274">
        <v>3</v>
      </c>
      <c r="L224" s="48">
        <f>+D170</f>
        <v>0</v>
      </c>
      <c r="M224" s="275" t="s">
        <v>420</v>
      </c>
      <c r="N224" s="142">
        <f>SUM(L224:L226)</f>
        <v>0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</row>
    <row r="225" spans="1:51" ht="17.25" customHeight="1" x14ac:dyDescent="0.25">
      <c r="A225" s="18"/>
      <c r="B225" s="18"/>
      <c r="C225" s="270">
        <v>6</v>
      </c>
      <c r="D225" s="48">
        <f>+G170</f>
        <v>0</v>
      </c>
      <c r="E225" s="276" t="s">
        <v>485</v>
      </c>
      <c r="F225" s="146" t="e">
        <f>+F224/$AI$82</f>
        <v>#DIV/0!</v>
      </c>
      <c r="G225" s="272">
        <v>2</v>
      </c>
      <c r="H225" s="48">
        <f>+C170</f>
        <v>0</v>
      </c>
      <c r="I225" s="277" t="s">
        <v>485</v>
      </c>
      <c r="J225" s="146" t="e">
        <f>+J224/$AI$82</f>
        <v>#DIV/0!</v>
      </c>
      <c r="K225" s="274">
        <v>1</v>
      </c>
      <c r="L225" s="48">
        <f>+B170</f>
        <v>0</v>
      </c>
      <c r="M225" s="278" t="s">
        <v>485</v>
      </c>
      <c r="N225" s="146" t="e">
        <f>+N224/$AI$82</f>
        <v>#DIV/0!</v>
      </c>
      <c r="O225" s="18"/>
      <c r="P225" s="424" t="s">
        <v>518</v>
      </c>
      <c r="Q225" s="365"/>
      <c r="R225" s="365"/>
      <c r="S225" s="365"/>
      <c r="T225" s="366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</row>
    <row r="226" spans="1:51" ht="17.25" customHeight="1" x14ac:dyDescent="0.25">
      <c r="A226" s="18"/>
      <c r="B226" s="18"/>
      <c r="C226" s="279">
        <v>7</v>
      </c>
      <c r="D226" s="261">
        <f>+H170</f>
        <v>0</v>
      </c>
      <c r="E226" s="280" t="s">
        <v>487</v>
      </c>
      <c r="F226" s="150" t="e">
        <f>IF(F225=MIN($F$229,$F$225,$F$221),"MENOR",IF(F225=MAX($F$229,$F$225,$F$221),"MAYOR","MEDIO"))</f>
        <v>#DIV/0!</v>
      </c>
      <c r="G226" s="281">
        <v>6</v>
      </c>
      <c r="H226" s="258">
        <f>+G170</f>
        <v>0</v>
      </c>
      <c r="I226" s="282" t="s">
        <v>487</v>
      </c>
      <c r="J226" s="150" t="e">
        <f>IF(J225=MIN($J$221,$J$225,$J$229),"MENOR",IF(J225=MAX($J$221,$J$225,$J$229),"MAYOR","MEDIO"))</f>
        <v>#DIV/0!</v>
      </c>
      <c r="K226" s="283">
        <v>5</v>
      </c>
      <c r="L226" s="258">
        <f>+F170</f>
        <v>0</v>
      </c>
      <c r="M226" s="284" t="s">
        <v>487</v>
      </c>
      <c r="N226" s="150" t="e">
        <f>IF(N225=MIN($N$221,$N$225,$N$229),"MENOR",IF(N225=MAX($N$221,$N$225,$N$229),"MAYOR","MEDIO"))</f>
        <v>#DIV/0!</v>
      </c>
      <c r="O226" s="18"/>
      <c r="P226" s="285">
        <v>1</v>
      </c>
      <c r="Q226" s="425" t="str">
        <f>IF(Y90=1,AA90,"No")</f>
        <v>No</v>
      </c>
      <c r="R226" s="426"/>
      <c r="S226" s="426"/>
      <c r="T226" s="427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</row>
    <row r="227" spans="1:51" ht="17.25" customHeight="1" x14ac:dyDescent="0.25">
      <c r="A227" s="18"/>
      <c r="B227" s="18"/>
      <c r="C227" s="286" t="s">
        <v>453</v>
      </c>
      <c r="D227" s="537" t="s">
        <v>519</v>
      </c>
      <c r="E227" s="374"/>
      <c r="F227" s="375"/>
      <c r="G227" s="287" t="s">
        <v>453</v>
      </c>
      <c r="H227" s="538" t="s">
        <v>520</v>
      </c>
      <c r="I227" s="374"/>
      <c r="J227" s="375"/>
      <c r="K227" s="288" t="s">
        <v>453</v>
      </c>
      <c r="L227" s="431" t="s">
        <v>521</v>
      </c>
      <c r="M227" s="374"/>
      <c r="N227" s="375"/>
      <c r="O227" s="18"/>
      <c r="P227" s="289">
        <f>+B179</f>
        <v>0</v>
      </c>
      <c r="Q227" s="428"/>
      <c r="R227" s="429"/>
      <c r="S227" s="429"/>
      <c r="T227" s="430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</row>
    <row r="228" spans="1:51" ht="17.25" customHeight="1" x14ac:dyDescent="0.25">
      <c r="A228" s="18"/>
      <c r="B228" s="18"/>
      <c r="C228" s="290">
        <v>4</v>
      </c>
      <c r="D228" s="155">
        <f>+E170</f>
        <v>0</v>
      </c>
      <c r="E228" s="291" t="s">
        <v>420</v>
      </c>
      <c r="F228" s="142">
        <f>SUM(D228:D230)</f>
        <v>0</v>
      </c>
      <c r="G228" s="292">
        <v>4</v>
      </c>
      <c r="H228" s="155">
        <f>+E170</f>
        <v>0</v>
      </c>
      <c r="I228" s="293" t="s">
        <v>420</v>
      </c>
      <c r="J228" s="142">
        <f>SUM(H228:H230)</f>
        <v>0</v>
      </c>
      <c r="K228" s="294">
        <v>9</v>
      </c>
      <c r="L228" s="155">
        <f>+J170</f>
        <v>0</v>
      </c>
      <c r="M228" s="295" t="s">
        <v>420</v>
      </c>
      <c r="N228" s="142">
        <f>SUM(L228:L230)</f>
        <v>0</v>
      </c>
      <c r="O228" s="18"/>
      <c r="P228" s="285">
        <v>2</v>
      </c>
      <c r="Q228" s="425" t="str">
        <f>IF(Y91=1,AA91,"No")</f>
        <v>No</v>
      </c>
      <c r="R228" s="426"/>
      <c r="S228" s="426"/>
      <c r="T228" s="427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</row>
    <row r="229" spans="1:51" ht="17.25" customHeight="1" x14ac:dyDescent="0.25">
      <c r="A229" s="18"/>
      <c r="B229" s="18"/>
      <c r="C229" s="290">
        <v>5</v>
      </c>
      <c r="D229" s="155">
        <f>+F170</f>
        <v>0</v>
      </c>
      <c r="E229" s="296" t="s">
        <v>485</v>
      </c>
      <c r="F229" s="146" t="e">
        <f>+F228/$AI$82</f>
        <v>#DIV/0!</v>
      </c>
      <c r="G229" s="292">
        <v>5</v>
      </c>
      <c r="H229" s="155">
        <f>+F170</f>
        <v>0</v>
      </c>
      <c r="I229" s="297" t="s">
        <v>485</v>
      </c>
      <c r="J229" s="146" t="e">
        <f>+J228/$AI$82</f>
        <v>#DIV/0!</v>
      </c>
      <c r="K229" s="294">
        <v>2</v>
      </c>
      <c r="L229" s="155">
        <f>+C170</f>
        <v>0</v>
      </c>
      <c r="M229" s="298" t="s">
        <v>485</v>
      </c>
      <c r="N229" s="146" t="e">
        <f>+N228/$AI$82</f>
        <v>#DIV/0!</v>
      </c>
      <c r="O229" s="18"/>
      <c r="P229" s="289">
        <f>+C179</f>
        <v>0</v>
      </c>
      <c r="Q229" s="428"/>
      <c r="R229" s="429"/>
      <c r="S229" s="429"/>
      <c r="T229" s="430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</row>
    <row r="230" spans="1:51" ht="17.25" customHeight="1" x14ac:dyDescent="0.25">
      <c r="A230" s="18"/>
      <c r="B230" s="18"/>
      <c r="C230" s="299">
        <v>9</v>
      </c>
      <c r="D230" s="261">
        <f>+J170</f>
        <v>0</v>
      </c>
      <c r="E230" s="300" t="s">
        <v>487</v>
      </c>
      <c r="F230" s="150" t="e">
        <f>IF(F229=MIN($F$229,$F$225,$F$221),"MENOR",IF(F229=MAX($F$229,$F$225,$F$221),"MAYOR","MEDIO"))</f>
        <v>#DIV/0!</v>
      </c>
      <c r="G230" s="301">
        <v>9</v>
      </c>
      <c r="H230" s="261">
        <f>+J170</f>
        <v>0</v>
      </c>
      <c r="I230" s="302" t="s">
        <v>487</v>
      </c>
      <c r="J230" s="150" t="e">
        <f>IF(J229=MIN($J$221,$J$225,$J$229),"MENOR",IF(J229=MAX($J$221,$J$225,$J$229),"MAYOR","MEDIO"))</f>
        <v>#DIV/0!</v>
      </c>
      <c r="K230" s="303">
        <v>7</v>
      </c>
      <c r="L230" s="261">
        <f>+H170</f>
        <v>0</v>
      </c>
      <c r="M230" s="304" t="s">
        <v>487</v>
      </c>
      <c r="N230" s="150" t="e">
        <f>IF(N229=MIN($N$221,$N$225,$N$229),"MENOR",IF(N229=MAX($N$221,$N$225,$N$229),"MAYOR","MEDIO"))</f>
        <v>#DIV/0!</v>
      </c>
      <c r="O230" s="18"/>
      <c r="P230" s="285">
        <v>3</v>
      </c>
      <c r="Q230" s="425" t="str">
        <f>IF(Y92=1,AA92,"No")</f>
        <v>No</v>
      </c>
      <c r="R230" s="426"/>
      <c r="S230" s="426"/>
      <c r="T230" s="427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</row>
    <row r="231" spans="1:51" ht="17.25" customHeight="1" x14ac:dyDescent="0.25">
      <c r="A231" s="18"/>
      <c r="B231" s="71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289">
        <f>+D179</f>
        <v>0</v>
      </c>
      <c r="Q231" s="428"/>
      <c r="R231" s="429"/>
      <c r="S231" s="429"/>
      <c r="T231" s="430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</row>
    <row r="232" spans="1:51" ht="17.25" customHeight="1" x14ac:dyDescent="0.25">
      <c r="A232" s="18"/>
      <c r="B232" s="539" t="s">
        <v>522</v>
      </c>
      <c r="C232" s="305" t="s">
        <v>523</v>
      </c>
      <c r="D232" s="305" t="s">
        <v>524</v>
      </c>
      <c r="E232" s="472" t="s">
        <v>352</v>
      </c>
      <c r="F232" s="407"/>
      <c r="G232" s="472" t="s">
        <v>353</v>
      </c>
      <c r="H232" s="407"/>
      <c r="I232" s="472" t="s">
        <v>354</v>
      </c>
      <c r="J232" s="407"/>
      <c r="K232" s="472" t="s">
        <v>355</v>
      </c>
      <c r="L232" s="407"/>
      <c r="M232" s="472" t="s">
        <v>356</v>
      </c>
      <c r="N232" s="375"/>
      <c r="O232" s="18"/>
      <c r="P232" s="285">
        <v>4</v>
      </c>
      <c r="Q232" s="425" t="str">
        <f>IF(Y93=1,AA93,"No")</f>
        <v>No</v>
      </c>
      <c r="R232" s="426"/>
      <c r="S232" s="426"/>
      <c r="T232" s="427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</row>
    <row r="233" spans="1:51" ht="17.25" customHeight="1" x14ac:dyDescent="0.25">
      <c r="A233" s="18"/>
      <c r="B233" s="540"/>
      <c r="C233" s="533" t="e">
        <f>+VLOOKUP(1,$AJ$2:$AY$11,5,FALSE)</f>
        <v>#N/A</v>
      </c>
      <c r="D233" s="535" t="e">
        <f>+VLOOKUP(1,$AJ$2:$AY$11,6,FALSE)</f>
        <v>#N/A</v>
      </c>
      <c r="E233" s="536" t="e">
        <f>+VLOOKUP(1,$AJ$2:$AY$11,7,FALSE)</f>
        <v>#N/A</v>
      </c>
      <c r="F233" s="391"/>
      <c r="G233" s="536" t="e">
        <f>+VLOOKUP(1,$AJ$2:$AY$11,9,FALSE)</f>
        <v>#N/A</v>
      </c>
      <c r="H233" s="391"/>
      <c r="I233" s="536" t="e">
        <f>+VLOOKUP(1,$AJ$2:$AY$11,11,FALSE)</f>
        <v>#N/A</v>
      </c>
      <c r="J233" s="391"/>
      <c r="K233" s="536" t="e">
        <f>+VLOOKUP(1,$AJ$2:$AY$11,13,FALSE)</f>
        <v>#N/A</v>
      </c>
      <c r="L233" s="391"/>
      <c r="M233" s="536" t="e">
        <f>+VLOOKUP(1,$AJ$2:$AY$11,15,FALSE)</f>
        <v>#N/A</v>
      </c>
      <c r="N233" s="496"/>
      <c r="O233" s="18"/>
      <c r="P233" s="289">
        <f>+E179</f>
        <v>0</v>
      </c>
      <c r="Q233" s="428"/>
      <c r="R233" s="429"/>
      <c r="S233" s="429"/>
      <c r="T233" s="430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</row>
    <row r="234" spans="1:51" ht="17.25" customHeight="1" x14ac:dyDescent="0.25">
      <c r="A234" s="18"/>
      <c r="B234" s="540"/>
      <c r="C234" s="484"/>
      <c r="D234" s="484"/>
      <c r="E234" s="482"/>
      <c r="F234" s="393"/>
      <c r="G234" s="482"/>
      <c r="H234" s="393"/>
      <c r="I234" s="482"/>
      <c r="J234" s="393"/>
      <c r="K234" s="482"/>
      <c r="L234" s="393"/>
      <c r="M234" s="482"/>
      <c r="N234" s="497"/>
      <c r="O234" s="18"/>
      <c r="P234" s="285">
        <v>5</v>
      </c>
      <c r="Q234" s="425" t="str">
        <f>IF(Y94=1,AA94,"No")</f>
        <v>No</v>
      </c>
      <c r="R234" s="426"/>
      <c r="S234" s="426"/>
      <c r="T234" s="427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</row>
    <row r="235" spans="1:51" ht="17.25" customHeight="1" x14ac:dyDescent="0.25">
      <c r="B235" s="540"/>
      <c r="C235" s="484"/>
      <c r="D235" s="484"/>
      <c r="E235" s="482"/>
      <c r="F235" s="393"/>
      <c r="G235" s="482"/>
      <c r="H235" s="393"/>
      <c r="I235" s="482"/>
      <c r="J235" s="393"/>
      <c r="K235" s="482"/>
      <c r="L235" s="393"/>
      <c r="M235" s="482"/>
      <c r="N235" s="497"/>
      <c r="P235" s="289">
        <f>+F179</f>
        <v>0</v>
      </c>
      <c r="Q235" s="428"/>
      <c r="R235" s="429"/>
      <c r="S235" s="429"/>
      <c r="T235" s="430"/>
      <c r="U235" s="71"/>
      <c r="X235" s="61"/>
      <c r="AB235" s="68"/>
      <c r="AD235" s="18"/>
      <c r="AG235" s="45"/>
      <c r="AH235" s="57"/>
      <c r="AI235" s="57"/>
    </row>
    <row r="236" spans="1:51" ht="17.25" customHeight="1" x14ac:dyDescent="0.25">
      <c r="B236" s="540"/>
      <c r="C236" s="484"/>
      <c r="D236" s="484"/>
      <c r="E236" s="482"/>
      <c r="F236" s="393"/>
      <c r="G236" s="482"/>
      <c r="H236" s="393"/>
      <c r="I236" s="482"/>
      <c r="J236" s="393"/>
      <c r="K236" s="482"/>
      <c r="L236" s="393"/>
      <c r="M236" s="482"/>
      <c r="N236" s="497"/>
      <c r="P236" s="285">
        <v>6</v>
      </c>
      <c r="Q236" s="425" t="str">
        <f>IF(Y95=1,AA95,"No")</f>
        <v>No</v>
      </c>
      <c r="R236" s="426"/>
      <c r="S236" s="426"/>
      <c r="T236" s="427"/>
      <c r="X236" s="61"/>
      <c r="AB236" s="68"/>
      <c r="AD236" s="18"/>
      <c r="AG236" s="45"/>
      <c r="AH236" s="57"/>
      <c r="AI236" s="57"/>
    </row>
    <row r="237" spans="1:51" ht="17.25" customHeight="1" x14ac:dyDescent="0.25">
      <c r="B237" s="540"/>
      <c r="C237" s="484"/>
      <c r="D237" s="484"/>
      <c r="E237" s="482"/>
      <c r="F237" s="393"/>
      <c r="G237" s="482"/>
      <c r="H237" s="393"/>
      <c r="I237" s="482"/>
      <c r="J237" s="393"/>
      <c r="K237" s="482"/>
      <c r="L237" s="393"/>
      <c r="M237" s="482"/>
      <c r="N237" s="497"/>
      <c r="P237" s="289">
        <f>+G179</f>
        <v>0</v>
      </c>
      <c r="Q237" s="428"/>
      <c r="R237" s="429"/>
      <c r="S237" s="429"/>
      <c r="T237" s="430"/>
      <c r="X237" s="61"/>
      <c r="AB237" s="68"/>
      <c r="AD237" s="18"/>
      <c r="AG237" s="45"/>
      <c r="AH237" s="57"/>
      <c r="AI237" s="57"/>
    </row>
    <row r="238" spans="1:51" ht="17.25" customHeight="1" x14ac:dyDescent="0.25">
      <c r="B238" s="540"/>
      <c r="C238" s="484"/>
      <c r="D238" s="484"/>
      <c r="E238" s="482"/>
      <c r="F238" s="393"/>
      <c r="G238" s="482"/>
      <c r="H238" s="393"/>
      <c r="I238" s="482"/>
      <c r="J238" s="393"/>
      <c r="K238" s="482"/>
      <c r="L238" s="393"/>
      <c r="M238" s="482"/>
      <c r="N238" s="497"/>
      <c r="P238" s="285">
        <v>7</v>
      </c>
      <c r="Q238" s="425" t="str">
        <f>IF(Y96=1,AA96,"No")</f>
        <v>No</v>
      </c>
      <c r="R238" s="426"/>
      <c r="S238" s="426"/>
      <c r="T238" s="427"/>
      <c r="X238" s="61"/>
      <c r="AB238" s="68"/>
      <c r="AD238" s="18"/>
      <c r="AG238" s="45"/>
      <c r="AH238" s="57"/>
      <c r="AI238" s="57"/>
    </row>
    <row r="239" spans="1:51" ht="17.25" customHeight="1" x14ac:dyDescent="0.25">
      <c r="B239" s="540"/>
      <c r="C239" s="484"/>
      <c r="D239" s="484"/>
      <c r="E239" s="482"/>
      <c r="F239" s="393"/>
      <c r="G239" s="482"/>
      <c r="H239" s="393"/>
      <c r="I239" s="482"/>
      <c r="J239" s="393"/>
      <c r="K239" s="482"/>
      <c r="L239" s="393"/>
      <c r="M239" s="482"/>
      <c r="N239" s="497"/>
      <c r="P239" s="289">
        <f>+H179</f>
        <v>0</v>
      </c>
      <c r="Q239" s="428"/>
      <c r="R239" s="429"/>
      <c r="S239" s="429"/>
      <c r="T239" s="430"/>
      <c r="X239" s="61"/>
      <c r="AB239" s="68"/>
      <c r="AD239" s="18"/>
      <c r="AG239" s="45"/>
      <c r="AH239" s="57"/>
      <c r="AI239" s="57"/>
    </row>
    <row r="240" spans="1:51" ht="17.25" customHeight="1" x14ac:dyDescent="0.25">
      <c r="B240" s="540"/>
      <c r="C240" s="484"/>
      <c r="D240" s="484"/>
      <c r="E240" s="482"/>
      <c r="F240" s="393"/>
      <c r="G240" s="482"/>
      <c r="H240" s="393"/>
      <c r="I240" s="482"/>
      <c r="J240" s="393"/>
      <c r="K240" s="482"/>
      <c r="L240" s="393"/>
      <c r="M240" s="482"/>
      <c r="N240" s="497"/>
      <c r="P240" s="285">
        <v>8</v>
      </c>
      <c r="Q240" s="425" t="str">
        <f>IF(Y97=1,AA97,"No")</f>
        <v>No</v>
      </c>
      <c r="R240" s="426"/>
      <c r="S240" s="426"/>
      <c r="T240" s="427"/>
      <c r="X240" s="61"/>
      <c r="AB240" s="68"/>
      <c r="AD240" s="18"/>
      <c r="AG240" s="45"/>
      <c r="AH240" s="57"/>
      <c r="AI240" s="57"/>
    </row>
    <row r="241" spans="2:35" ht="17.25" customHeight="1" x14ac:dyDescent="0.25">
      <c r="B241" s="540"/>
      <c r="C241" s="484"/>
      <c r="D241" s="484"/>
      <c r="E241" s="482"/>
      <c r="F241" s="393"/>
      <c r="G241" s="482"/>
      <c r="H241" s="393"/>
      <c r="I241" s="482"/>
      <c r="J241" s="393"/>
      <c r="K241" s="482"/>
      <c r="L241" s="393"/>
      <c r="M241" s="482"/>
      <c r="N241" s="497"/>
      <c r="P241" s="289">
        <f>+I179</f>
        <v>0</v>
      </c>
      <c r="Q241" s="428"/>
      <c r="R241" s="429"/>
      <c r="S241" s="429"/>
      <c r="T241" s="430"/>
      <c r="X241" s="61"/>
      <c r="AB241" s="68"/>
      <c r="AD241" s="18"/>
      <c r="AG241" s="45"/>
      <c r="AH241" s="57"/>
      <c r="AI241" s="57"/>
    </row>
    <row r="242" spans="2:35" ht="17.25" customHeight="1" x14ac:dyDescent="0.25">
      <c r="B242" s="540"/>
      <c r="C242" s="484"/>
      <c r="D242" s="484"/>
      <c r="E242" s="482"/>
      <c r="F242" s="393"/>
      <c r="G242" s="482"/>
      <c r="H242" s="393"/>
      <c r="I242" s="482"/>
      <c r="J242" s="393"/>
      <c r="K242" s="482"/>
      <c r="L242" s="393"/>
      <c r="M242" s="482"/>
      <c r="N242" s="497"/>
      <c r="P242" s="285">
        <v>9</v>
      </c>
      <c r="Q242" s="425" t="str">
        <f>IF(Y98=1,AA98,"No")</f>
        <v>No</v>
      </c>
      <c r="R242" s="426"/>
      <c r="S242" s="426"/>
      <c r="T242" s="427"/>
      <c r="X242" s="61"/>
      <c r="AB242" s="68"/>
      <c r="AD242" s="18"/>
      <c r="AG242" s="45"/>
      <c r="AH242" s="57"/>
      <c r="AI242" s="57"/>
    </row>
    <row r="243" spans="2:35" ht="17.25" customHeight="1" x14ac:dyDescent="0.25">
      <c r="B243" s="460"/>
      <c r="C243" s="534"/>
      <c r="D243" s="534"/>
      <c r="E243" s="428"/>
      <c r="F243" s="395"/>
      <c r="G243" s="428"/>
      <c r="H243" s="395"/>
      <c r="I243" s="428"/>
      <c r="J243" s="395"/>
      <c r="K243" s="428"/>
      <c r="L243" s="395"/>
      <c r="M243" s="428"/>
      <c r="N243" s="430"/>
      <c r="P243" s="289">
        <f>+J179</f>
        <v>0</v>
      </c>
      <c r="Q243" s="428"/>
      <c r="R243" s="429"/>
      <c r="S243" s="429"/>
      <c r="T243" s="430"/>
      <c r="X243" s="61"/>
      <c r="AB243" s="68"/>
      <c r="AD243" s="18"/>
      <c r="AG243" s="45"/>
      <c r="AH243" s="57"/>
      <c r="AI243" s="57"/>
    </row>
    <row r="244" spans="2:35" ht="15.75" customHeight="1" x14ac:dyDescent="0.25"/>
    <row r="245" spans="2:35" ht="15.75" customHeight="1" x14ac:dyDescent="0.25"/>
    <row r="246" spans="2:35" ht="15.75" customHeight="1" x14ac:dyDescent="0.25"/>
    <row r="247" spans="2:35" ht="15.75" customHeight="1" x14ac:dyDescent="0.25"/>
    <row r="248" spans="2:35" ht="15.75" customHeight="1" x14ac:dyDescent="0.25"/>
    <row r="249" spans="2:35" ht="15.75" customHeight="1" x14ac:dyDescent="0.25"/>
    <row r="250" spans="2:35" ht="15.75" customHeight="1" x14ac:dyDescent="0.25"/>
    <row r="251" spans="2:35" ht="15.75" customHeight="1" x14ac:dyDescent="0.25"/>
    <row r="252" spans="2:35" ht="15.75" customHeight="1" x14ac:dyDescent="0.25"/>
    <row r="253" spans="2:35" ht="15.75" customHeight="1" x14ac:dyDescent="0.25"/>
    <row r="254" spans="2:35" ht="15.75" customHeight="1" x14ac:dyDescent="0.25"/>
    <row r="255" spans="2:35" ht="15.75" customHeight="1" x14ac:dyDescent="0.25"/>
    <row r="256" spans="2:3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2">
    <mergeCell ref="D194:E194"/>
    <mergeCell ref="F194:G194"/>
    <mergeCell ref="H194:I194"/>
    <mergeCell ref="G210:I210"/>
    <mergeCell ref="J210:L210"/>
    <mergeCell ref="Q230:T231"/>
    <mergeCell ref="Q232:T233"/>
    <mergeCell ref="R207:T207"/>
    <mergeCell ref="R212:T212"/>
    <mergeCell ref="R216:T216"/>
    <mergeCell ref="R220:T220"/>
    <mergeCell ref="P225:T225"/>
    <mergeCell ref="Q226:T227"/>
    <mergeCell ref="Q228:T229"/>
    <mergeCell ref="T179:T180"/>
    <mergeCell ref="B180:D180"/>
    <mergeCell ref="P189:Q189"/>
    <mergeCell ref="R189:S189"/>
    <mergeCell ref="M182:O182"/>
    <mergeCell ref="P182:S182"/>
    <mergeCell ref="M183:O183"/>
    <mergeCell ref="P183:S183"/>
    <mergeCell ref="L186:T186"/>
    <mergeCell ref="L189:M189"/>
    <mergeCell ref="N189:O189"/>
    <mergeCell ref="B173:G173"/>
    <mergeCell ref="B174:G174"/>
    <mergeCell ref="M174:S174"/>
    <mergeCell ref="B175:G175"/>
    <mergeCell ref="M175:S176"/>
    <mergeCell ref="T175:T176"/>
    <mergeCell ref="B176:J176"/>
    <mergeCell ref="L175:L176"/>
    <mergeCell ref="L177:L178"/>
    <mergeCell ref="M177:S178"/>
    <mergeCell ref="T177:T178"/>
    <mergeCell ref="O197:P197"/>
    <mergeCell ref="Q197:T197"/>
    <mergeCell ref="L197:M197"/>
    <mergeCell ref="K198:M198"/>
    <mergeCell ref="N198:P198"/>
    <mergeCell ref="Q198:T198"/>
    <mergeCell ref="K199:P199"/>
    <mergeCell ref="K200:P200"/>
    <mergeCell ref="B201:L201"/>
    <mergeCell ref="B200:D200"/>
    <mergeCell ref="C202:E202"/>
    <mergeCell ref="G202:I202"/>
    <mergeCell ref="J202:J203"/>
    <mergeCell ref="K202:L203"/>
    <mergeCell ref="B197:C197"/>
    <mergeCell ref="D197:E197"/>
    <mergeCell ref="F197:G197"/>
    <mergeCell ref="H197:I197"/>
    <mergeCell ref="B198:D198"/>
    <mergeCell ref="B199:D199"/>
    <mergeCell ref="F200:H200"/>
    <mergeCell ref="J196:J197"/>
    <mergeCell ref="L196:M196"/>
    <mergeCell ref="M179:S180"/>
    <mergeCell ref="L181:S181"/>
    <mergeCell ref="B194:C194"/>
    <mergeCell ref="B195:C195"/>
    <mergeCell ref="D195:E195"/>
    <mergeCell ref="F195:G195"/>
    <mergeCell ref="H195:I195"/>
    <mergeCell ref="B196:C196"/>
    <mergeCell ref="D196:E196"/>
    <mergeCell ref="F196:G196"/>
    <mergeCell ref="H196:I196"/>
    <mergeCell ref="O196:P196"/>
    <mergeCell ref="L179:L180"/>
    <mergeCell ref="L190:M190"/>
    <mergeCell ref="N190:O190"/>
    <mergeCell ref="P190:Q190"/>
    <mergeCell ref="R190:S190"/>
    <mergeCell ref="B191:J191"/>
    <mergeCell ref="L191:M191"/>
    <mergeCell ref="N191:O191"/>
    <mergeCell ref="P191:Q191"/>
    <mergeCell ref="R191:S191"/>
    <mergeCell ref="L192:T194"/>
    <mergeCell ref="J193:J194"/>
    <mergeCell ref="B104:E104"/>
    <mergeCell ref="F104:R104"/>
    <mergeCell ref="R105:S105"/>
    <mergeCell ref="B107:T107"/>
    <mergeCell ref="B109:C109"/>
    <mergeCell ref="O111:Q111"/>
    <mergeCell ref="R111:T111"/>
    <mergeCell ref="O112:T112"/>
    <mergeCell ref="O113:T113"/>
    <mergeCell ref="Z77:AH77"/>
    <mergeCell ref="X79:Y79"/>
    <mergeCell ref="X80:Y80"/>
    <mergeCell ref="X81:Y81"/>
    <mergeCell ref="X82:Y82"/>
    <mergeCell ref="X84:Y84"/>
    <mergeCell ref="Z84:AF87"/>
    <mergeCell ref="AG84:AG87"/>
    <mergeCell ref="B102:C102"/>
    <mergeCell ref="M102:N102"/>
    <mergeCell ref="AV9:AW9"/>
    <mergeCell ref="AX9:AY9"/>
    <mergeCell ref="AV10:AW10"/>
    <mergeCell ref="AX10:AY10"/>
    <mergeCell ref="AV11:AW11"/>
    <mergeCell ref="AX11:AY11"/>
    <mergeCell ref="AP7:AQ7"/>
    <mergeCell ref="AP8:AQ8"/>
    <mergeCell ref="AR8:AS8"/>
    <mergeCell ref="AT8:AU8"/>
    <mergeCell ref="AV8:AW8"/>
    <mergeCell ref="AX8:AY8"/>
    <mergeCell ref="AP9:AQ9"/>
    <mergeCell ref="AR9:AS9"/>
    <mergeCell ref="AT9:AU9"/>
    <mergeCell ref="AP10:AQ10"/>
    <mergeCell ref="AR10:AS10"/>
    <mergeCell ref="AT10:AU10"/>
    <mergeCell ref="AR11:AS11"/>
    <mergeCell ref="AT11:AU11"/>
    <mergeCell ref="AP11:AQ11"/>
    <mergeCell ref="AV5:AW5"/>
    <mergeCell ref="AX5:AY5"/>
    <mergeCell ref="AV6:AW6"/>
    <mergeCell ref="AX6:AY6"/>
    <mergeCell ref="AV7:AW7"/>
    <mergeCell ref="AX7:AY7"/>
    <mergeCell ref="AP3:AQ3"/>
    <mergeCell ref="AP4:AQ4"/>
    <mergeCell ref="AR4:AS4"/>
    <mergeCell ref="AT4:AU4"/>
    <mergeCell ref="AV4:AW4"/>
    <mergeCell ref="AX4:AY4"/>
    <mergeCell ref="AP5:AQ5"/>
    <mergeCell ref="AR5:AS5"/>
    <mergeCell ref="AT5:AU5"/>
    <mergeCell ref="AP6:AQ6"/>
    <mergeCell ref="AR6:AS6"/>
    <mergeCell ref="AT6:AU6"/>
    <mergeCell ref="AR7:AS7"/>
    <mergeCell ref="AT7:AU7"/>
    <mergeCell ref="AT3:AU3"/>
    <mergeCell ref="AV3:AW3"/>
    <mergeCell ref="AP2:AQ2"/>
    <mergeCell ref="AR2:AS2"/>
    <mergeCell ref="AT2:AU2"/>
    <mergeCell ref="AV2:AW2"/>
    <mergeCell ref="AX2:AY2"/>
    <mergeCell ref="AR3:AS3"/>
    <mergeCell ref="AX3:AY3"/>
    <mergeCell ref="AP1:AQ1"/>
    <mergeCell ref="AR1:AS1"/>
    <mergeCell ref="AT1:AU1"/>
    <mergeCell ref="AV1:AW1"/>
    <mergeCell ref="AX1:AY1"/>
    <mergeCell ref="B1:B2"/>
    <mergeCell ref="C1:C2"/>
    <mergeCell ref="D1:L1"/>
    <mergeCell ref="M1:M2"/>
    <mergeCell ref="N1:N2"/>
    <mergeCell ref="X1:X2"/>
    <mergeCell ref="Y1:Y2"/>
    <mergeCell ref="Q234:T235"/>
    <mergeCell ref="Q236:T237"/>
    <mergeCell ref="Q238:T239"/>
    <mergeCell ref="Q240:T241"/>
    <mergeCell ref="Q242:T243"/>
    <mergeCell ref="C233:C243"/>
    <mergeCell ref="D233:D243"/>
    <mergeCell ref="O1:W1"/>
    <mergeCell ref="Z1:AH1"/>
    <mergeCell ref="B165:T166"/>
    <mergeCell ref="B167:E167"/>
    <mergeCell ref="F167:Q167"/>
    <mergeCell ref="B168:J168"/>
    <mergeCell ref="M168:N168"/>
    <mergeCell ref="Q168:R168"/>
    <mergeCell ref="S168:T168"/>
    <mergeCell ref="P169:T169"/>
    <mergeCell ref="P170:T170"/>
    <mergeCell ref="B171:C171"/>
    <mergeCell ref="E171:J171"/>
    <mergeCell ref="P171:T171"/>
    <mergeCell ref="F172:G172"/>
    <mergeCell ref="P172:Q172"/>
    <mergeCell ref="X75:Y75"/>
    <mergeCell ref="B232:B243"/>
    <mergeCell ref="M233:N243"/>
    <mergeCell ref="M210:O211"/>
    <mergeCell ref="Q211:T211"/>
    <mergeCell ref="R199:T199"/>
    <mergeCell ref="R203:T203"/>
    <mergeCell ref="B208:O208"/>
    <mergeCell ref="B209:O209"/>
    <mergeCell ref="B210:C211"/>
    <mergeCell ref="D210:F210"/>
    <mergeCell ref="B212:C212"/>
    <mergeCell ref="B213:C213"/>
    <mergeCell ref="B214:C214"/>
    <mergeCell ref="C218:F218"/>
    <mergeCell ref="G218:J218"/>
    <mergeCell ref="K218:N218"/>
    <mergeCell ref="H219:J219"/>
    <mergeCell ref="L219:N219"/>
    <mergeCell ref="D227:F227"/>
    <mergeCell ref="E232:F232"/>
    <mergeCell ref="G232:H232"/>
    <mergeCell ref="I232:J232"/>
    <mergeCell ref="K232:L232"/>
    <mergeCell ref="M232:N232"/>
    <mergeCell ref="E233:F243"/>
    <mergeCell ref="G233:H243"/>
    <mergeCell ref="I233:J243"/>
    <mergeCell ref="K233:L243"/>
    <mergeCell ref="D219:F219"/>
    <mergeCell ref="D223:F223"/>
    <mergeCell ref="H223:J223"/>
    <mergeCell ref="L223:N223"/>
    <mergeCell ref="H227:J227"/>
    <mergeCell ref="L227:N227"/>
  </mergeCells>
  <hyperlinks>
    <hyperlink ref="O111" r:id="rId1" xr:uid="{00000000-0004-0000-0200-000000000000}"/>
    <hyperlink ref="R111" r:id="rId2" xr:uid="{00000000-0004-0000-0200-000001000000}"/>
  </hyperlinks>
  <printOptions horizontalCentered="1"/>
  <pageMargins left="0" right="0" top="0" bottom="0" header="0" footer="0"/>
  <pageSetup paperSize="9"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Y1000"/>
  <sheetViews>
    <sheetView showGridLines="0" topLeftCell="A103" workbookViewId="0"/>
  </sheetViews>
  <sheetFormatPr baseColWidth="10" defaultColWidth="12.6640625" defaultRowHeight="15" customHeight="1" x14ac:dyDescent="0.25"/>
  <cols>
    <col min="1" max="1" width="11.44140625" customWidth="1"/>
    <col min="2" max="2" width="8" customWidth="1"/>
    <col min="3" max="11" width="8.109375" customWidth="1"/>
    <col min="12" max="20" width="8.6640625" customWidth="1"/>
    <col min="21" max="23" width="8.109375" customWidth="1"/>
    <col min="24" max="24" width="7.6640625" customWidth="1"/>
    <col min="25" max="25" width="8.88671875" customWidth="1"/>
    <col min="26" max="28" width="8.109375" customWidth="1"/>
    <col min="29" max="29" width="9.44140625" customWidth="1"/>
    <col min="30" max="32" width="8.109375" customWidth="1"/>
    <col min="33" max="33" width="9.44140625" customWidth="1"/>
    <col min="34" max="34" width="8.109375" customWidth="1"/>
    <col min="35" max="35" width="11.6640625" customWidth="1"/>
    <col min="36" max="36" width="3.44140625" customWidth="1"/>
    <col min="37" max="39" width="3" customWidth="1"/>
    <col min="40" max="40" width="13.44140625" customWidth="1"/>
    <col min="41" max="41" width="25.33203125" customWidth="1"/>
    <col min="42" max="51" width="7.44140625" customWidth="1"/>
  </cols>
  <sheetData>
    <row r="1" spans="1:51" ht="15.75" hidden="1" customHeight="1" x14ac:dyDescent="0.3">
      <c r="B1" s="475"/>
      <c r="C1" s="475"/>
      <c r="D1" s="473"/>
      <c r="E1" s="361"/>
      <c r="F1" s="361"/>
      <c r="G1" s="361"/>
      <c r="H1" s="361"/>
      <c r="I1" s="361"/>
      <c r="J1" s="361"/>
      <c r="K1" s="361"/>
      <c r="L1" s="388"/>
      <c r="M1" s="475"/>
      <c r="N1" s="475"/>
      <c r="O1" s="473"/>
      <c r="P1" s="361"/>
      <c r="Q1" s="361"/>
      <c r="R1" s="361"/>
      <c r="S1" s="361"/>
      <c r="T1" s="361"/>
      <c r="U1" s="361"/>
      <c r="V1" s="361"/>
      <c r="W1" s="388"/>
      <c r="X1" s="475"/>
      <c r="Y1" s="475"/>
      <c r="Z1" s="473"/>
      <c r="AA1" s="361"/>
      <c r="AB1" s="361"/>
      <c r="AC1" s="361"/>
      <c r="AD1" s="361"/>
      <c r="AE1" s="361"/>
      <c r="AF1" s="361"/>
      <c r="AG1" s="361"/>
      <c r="AH1" s="388"/>
      <c r="AL1" s="18"/>
      <c r="AM1" s="18"/>
      <c r="AN1" s="44" t="s">
        <v>350</v>
      </c>
      <c r="AO1" s="44" t="s">
        <v>351</v>
      </c>
      <c r="AP1" s="474" t="s">
        <v>352</v>
      </c>
      <c r="AQ1" s="407"/>
      <c r="AR1" s="474" t="s">
        <v>353</v>
      </c>
      <c r="AS1" s="407"/>
      <c r="AT1" s="474" t="s">
        <v>354</v>
      </c>
      <c r="AU1" s="407"/>
      <c r="AV1" s="474" t="s">
        <v>355</v>
      </c>
      <c r="AW1" s="407"/>
      <c r="AX1" s="474" t="s">
        <v>356</v>
      </c>
      <c r="AY1" s="407"/>
    </row>
    <row r="2" spans="1:51" ht="12.75" hidden="1" customHeight="1" x14ac:dyDescent="0.25">
      <c r="A2" s="45"/>
      <c r="B2" s="476"/>
      <c r="C2" s="476"/>
      <c r="D2" s="46"/>
      <c r="E2" s="46"/>
      <c r="F2" s="46"/>
      <c r="G2" s="46"/>
      <c r="H2" s="46"/>
      <c r="I2" s="46"/>
      <c r="J2" s="46"/>
      <c r="K2" s="46"/>
      <c r="L2" s="46"/>
      <c r="M2" s="476"/>
      <c r="N2" s="476"/>
      <c r="O2" s="46"/>
      <c r="P2" s="46"/>
      <c r="Q2" s="46"/>
      <c r="R2" s="46"/>
      <c r="S2" s="46"/>
      <c r="T2" s="46"/>
      <c r="U2" s="46"/>
      <c r="V2" s="46"/>
      <c r="W2" s="46"/>
      <c r="X2" s="476"/>
      <c r="Y2" s="476"/>
      <c r="Z2" s="46"/>
      <c r="AA2" s="46"/>
      <c r="AB2" s="46"/>
      <c r="AC2" s="46"/>
      <c r="AD2" s="46"/>
      <c r="AE2" s="46"/>
      <c r="AF2" s="46"/>
      <c r="AG2" s="46"/>
      <c r="AH2" s="46"/>
      <c r="AJ2" s="17">
        <f t="shared" ref="AJ2:AJ11" si="0">+IF(AND($K$112&gt;=AL2,$K$112&lt;=AM2),1,0)</f>
        <v>0</v>
      </c>
      <c r="AK2" s="17">
        <v>1</v>
      </c>
      <c r="AL2" s="47">
        <v>1</v>
      </c>
      <c r="AM2" s="47">
        <v>6</v>
      </c>
      <c r="AN2" s="48" t="s">
        <v>357</v>
      </c>
      <c r="AO2" s="49" t="s">
        <v>358</v>
      </c>
      <c r="AP2" s="477" t="s">
        <v>359</v>
      </c>
      <c r="AQ2" s="388"/>
      <c r="AR2" s="477" t="s">
        <v>360</v>
      </c>
      <c r="AS2" s="388"/>
      <c r="AT2" s="477" t="s">
        <v>361</v>
      </c>
      <c r="AU2" s="388"/>
      <c r="AV2" s="477" t="s">
        <v>362</v>
      </c>
      <c r="AW2" s="388"/>
      <c r="AX2" s="477" t="s">
        <v>363</v>
      </c>
      <c r="AY2" s="388"/>
    </row>
    <row r="3" spans="1:51" ht="12.75" hidden="1" customHeight="1" x14ac:dyDescent="0.25">
      <c r="B3" s="50"/>
      <c r="C3" s="51"/>
      <c r="D3" s="52"/>
      <c r="E3" s="53"/>
      <c r="F3" s="53"/>
      <c r="G3" s="53"/>
      <c r="H3" s="53"/>
      <c r="I3" s="53"/>
      <c r="J3" s="53"/>
      <c r="K3" s="54"/>
      <c r="L3" s="53"/>
      <c r="M3" s="50"/>
      <c r="N3" s="51"/>
      <c r="O3" s="53"/>
      <c r="P3" s="53"/>
      <c r="Q3" s="53"/>
      <c r="R3" s="53"/>
      <c r="S3" s="54"/>
      <c r="T3" s="53"/>
      <c r="U3" s="53"/>
      <c r="V3" s="53"/>
      <c r="W3" s="52"/>
      <c r="X3" s="50"/>
      <c r="Y3" s="51"/>
      <c r="Z3" s="53"/>
      <c r="AA3" s="53"/>
      <c r="AB3" s="55"/>
      <c r="AC3" s="53"/>
      <c r="AD3" s="53"/>
      <c r="AE3" s="52"/>
      <c r="AF3" s="54"/>
      <c r="AG3" s="53"/>
      <c r="AH3" s="53"/>
      <c r="AJ3" s="17">
        <f t="shared" si="0"/>
        <v>0</v>
      </c>
      <c r="AK3" s="17">
        <v>2</v>
      </c>
      <c r="AL3" s="47">
        <v>7</v>
      </c>
      <c r="AM3" s="47">
        <v>13</v>
      </c>
      <c r="AN3" s="48" t="s">
        <v>357</v>
      </c>
      <c r="AO3" s="49" t="s">
        <v>364</v>
      </c>
      <c r="AP3" s="477" t="s">
        <v>365</v>
      </c>
      <c r="AQ3" s="388"/>
      <c r="AR3" s="477" t="s">
        <v>366</v>
      </c>
      <c r="AS3" s="388"/>
      <c r="AT3" s="477" t="s">
        <v>367</v>
      </c>
      <c r="AU3" s="388"/>
      <c r="AV3" s="477" t="s">
        <v>368</v>
      </c>
      <c r="AW3" s="388"/>
      <c r="AX3" s="477" t="s">
        <v>369</v>
      </c>
      <c r="AY3" s="388"/>
    </row>
    <row r="4" spans="1:51" ht="12.75" hidden="1" customHeight="1" x14ac:dyDescent="0.25">
      <c r="B4" s="50"/>
      <c r="C4" s="51"/>
      <c r="D4" s="53"/>
      <c r="E4" s="52"/>
      <c r="F4" s="53"/>
      <c r="G4" s="53"/>
      <c r="H4" s="53"/>
      <c r="I4" s="54"/>
      <c r="J4" s="53"/>
      <c r="K4" s="53"/>
      <c r="L4" s="53"/>
      <c r="M4" s="50"/>
      <c r="N4" s="51"/>
      <c r="O4" s="52"/>
      <c r="P4" s="53"/>
      <c r="Q4" s="53"/>
      <c r="R4" s="53"/>
      <c r="S4" s="53"/>
      <c r="T4" s="53"/>
      <c r="U4" s="54"/>
      <c r="V4" s="53"/>
      <c r="W4" s="52"/>
      <c r="X4" s="50"/>
      <c r="Y4" s="51"/>
      <c r="Z4" s="53"/>
      <c r="AA4" s="52"/>
      <c r="AB4" s="54"/>
      <c r="AC4" s="53"/>
      <c r="AD4" s="53"/>
      <c r="AE4" s="53"/>
      <c r="AF4" s="55"/>
      <c r="AG4" s="53"/>
      <c r="AH4" s="53"/>
      <c r="AJ4" s="17">
        <f t="shared" si="0"/>
        <v>0</v>
      </c>
      <c r="AK4" s="17">
        <v>3</v>
      </c>
      <c r="AL4" s="47">
        <v>14</v>
      </c>
      <c r="AM4" s="47">
        <v>20</v>
      </c>
      <c r="AN4" s="48" t="s">
        <v>357</v>
      </c>
      <c r="AO4" s="49" t="s">
        <v>370</v>
      </c>
      <c r="AP4" s="477" t="s">
        <v>371</v>
      </c>
      <c r="AQ4" s="388"/>
      <c r="AR4" s="477" t="s">
        <v>372</v>
      </c>
      <c r="AS4" s="388"/>
      <c r="AT4" s="477" t="s">
        <v>373</v>
      </c>
      <c r="AU4" s="388"/>
      <c r="AV4" s="477" t="s">
        <v>374</v>
      </c>
      <c r="AW4" s="388"/>
      <c r="AX4" s="477" t="s">
        <v>375</v>
      </c>
      <c r="AY4" s="388"/>
    </row>
    <row r="5" spans="1:51" ht="12.75" hidden="1" customHeight="1" x14ac:dyDescent="0.25">
      <c r="B5" s="50"/>
      <c r="C5" s="51"/>
      <c r="D5" s="52"/>
      <c r="E5" s="53"/>
      <c r="F5" s="52"/>
      <c r="G5" s="53"/>
      <c r="H5" s="53"/>
      <c r="I5" s="53"/>
      <c r="J5" s="53"/>
      <c r="K5" s="53"/>
      <c r="L5" s="54"/>
      <c r="M5" s="50"/>
      <c r="N5" s="51"/>
      <c r="O5" s="53"/>
      <c r="P5" s="53"/>
      <c r="Q5" s="53"/>
      <c r="R5" s="53"/>
      <c r="S5" s="52"/>
      <c r="T5" s="54"/>
      <c r="U5" s="53"/>
      <c r="V5" s="52"/>
      <c r="W5" s="52"/>
      <c r="X5" s="50"/>
      <c r="Y5" s="51"/>
      <c r="Z5" s="53"/>
      <c r="AA5" s="52"/>
      <c r="AB5" s="55"/>
      <c r="AC5" s="54"/>
      <c r="AD5" s="53"/>
      <c r="AE5" s="53"/>
      <c r="AF5" s="55"/>
      <c r="AG5" s="53"/>
      <c r="AH5" s="53"/>
      <c r="AJ5" s="17">
        <f t="shared" si="0"/>
        <v>0</v>
      </c>
      <c r="AK5" s="17">
        <v>4</v>
      </c>
      <c r="AL5" s="47">
        <v>21</v>
      </c>
      <c r="AM5" s="47">
        <v>27</v>
      </c>
      <c r="AN5" s="48" t="s">
        <v>357</v>
      </c>
      <c r="AO5" s="49" t="s">
        <v>376</v>
      </c>
      <c r="AP5" s="477" t="s">
        <v>377</v>
      </c>
      <c r="AQ5" s="388"/>
      <c r="AR5" s="477" t="s">
        <v>378</v>
      </c>
      <c r="AS5" s="388"/>
      <c r="AT5" s="477" t="s">
        <v>379</v>
      </c>
      <c r="AU5" s="388"/>
      <c r="AV5" s="477" t="s">
        <v>380</v>
      </c>
      <c r="AW5" s="388"/>
      <c r="AX5" s="477" t="s">
        <v>381</v>
      </c>
      <c r="AY5" s="388"/>
    </row>
    <row r="6" spans="1:51" ht="12.75" hidden="1" customHeight="1" x14ac:dyDescent="0.25">
      <c r="B6" s="50"/>
      <c r="C6" s="51"/>
      <c r="D6" s="53"/>
      <c r="E6" s="53"/>
      <c r="F6" s="54"/>
      <c r="G6" s="52"/>
      <c r="H6" s="52"/>
      <c r="I6" s="53"/>
      <c r="J6" s="53"/>
      <c r="K6" s="53"/>
      <c r="L6" s="53"/>
      <c r="M6" s="50"/>
      <c r="N6" s="51"/>
      <c r="O6" s="53"/>
      <c r="P6" s="53"/>
      <c r="Q6" s="54"/>
      <c r="R6" s="53"/>
      <c r="S6" s="53"/>
      <c r="T6" s="53"/>
      <c r="U6" s="53"/>
      <c r="V6" s="53"/>
      <c r="W6" s="52"/>
      <c r="X6" s="50"/>
      <c r="Y6" s="51"/>
      <c r="Z6" s="53"/>
      <c r="AA6" s="52"/>
      <c r="AB6" s="55"/>
      <c r="AC6" s="53"/>
      <c r="AD6" s="53"/>
      <c r="AE6" s="53"/>
      <c r="AF6" s="55"/>
      <c r="AG6" s="53"/>
      <c r="AH6" s="54"/>
      <c r="AJ6" s="17">
        <f t="shared" si="0"/>
        <v>0</v>
      </c>
      <c r="AK6" s="17">
        <v>5</v>
      </c>
      <c r="AL6" s="47">
        <v>28</v>
      </c>
      <c r="AM6" s="47">
        <v>41</v>
      </c>
      <c r="AN6" s="48" t="s">
        <v>357</v>
      </c>
      <c r="AO6" s="49" t="s">
        <v>382</v>
      </c>
      <c r="AP6" s="477" t="s">
        <v>383</v>
      </c>
      <c r="AQ6" s="388"/>
      <c r="AR6" s="477" t="s">
        <v>384</v>
      </c>
      <c r="AS6" s="388"/>
      <c r="AT6" s="477" t="s">
        <v>385</v>
      </c>
      <c r="AU6" s="388"/>
      <c r="AV6" s="477" t="s">
        <v>386</v>
      </c>
      <c r="AW6" s="388"/>
      <c r="AX6" s="477" t="s">
        <v>387</v>
      </c>
      <c r="AY6" s="388"/>
    </row>
    <row r="7" spans="1:51" ht="12.75" hidden="1" customHeight="1" x14ac:dyDescent="0.25">
      <c r="B7" s="50"/>
      <c r="C7" s="51"/>
      <c r="D7" s="52"/>
      <c r="E7" s="54"/>
      <c r="F7" s="53"/>
      <c r="G7" s="53"/>
      <c r="H7" s="53"/>
      <c r="I7" s="53"/>
      <c r="J7" s="53"/>
      <c r="K7" s="53"/>
      <c r="L7" s="53"/>
      <c r="M7" s="50"/>
      <c r="N7" s="51"/>
      <c r="O7" s="53"/>
      <c r="P7" s="53"/>
      <c r="Q7" s="53"/>
      <c r="R7" s="54"/>
      <c r="S7" s="53"/>
      <c r="T7" s="53"/>
      <c r="U7" s="53"/>
      <c r="V7" s="52"/>
      <c r="W7" s="52"/>
      <c r="X7" s="50"/>
      <c r="Y7" s="51"/>
      <c r="Z7" s="52"/>
      <c r="AA7" s="54"/>
      <c r="AB7" s="55"/>
      <c r="AC7" s="53"/>
      <c r="AD7" s="53"/>
      <c r="AE7" s="53"/>
      <c r="AF7" s="55"/>
      <c r="AG7" s="53"/>
      <c r="AH7" s="53"/>
      <c r="AJ7" s="17">
        <f t="shared" si="0"/>
        <v>0</v>
      </c>
      <c r="AK7" s="17">
        <v>6</v>
      </c>
      <c r="AL7" s="47">
        <v>42</v>
      </c>
      <c r="AM7" s="47">
        <v>48</v>
      </c>
      <c r="AN7" s="48" t="s">
        <v>388</v>
      </c>
      <c r="AO7" s="49" t="s">
        <v>389</v>
      </c>
      <c r="AP7" s="477" t="s">
        <v>390</v>
      </c>
      <c r="AQ7" s="388"/>
      <c r="AR7" s="477" t="s">
        <v>391</v>
      </c>
      <c r="AS7" s="388"/>
      <c r="AT7" s="477" t="s">
        <v>392</v>
      </c>
      <c r="AU7" s="388"/>
      <c r="AV7" s="477" t="s">
        <v>393</v>
      </c>
      <c r="AW7" s="388"/>
      <c r="AX7" s="477" t="s">
        <v>394</v>
      </c>
      <c r="AY7" s="388"/>
    </row>
    <row r="8" spans="1:51" ht="12.75" hidden="1" customHeight="1" x14ac:dyDescent="0.25">
      <c r="B8" s="50"/>
      <c r="C8" s="51"/>
      <c r="D8" s="53"/>
      <c r="E8" s="53"/>
      <c r="F8" s="53"/>
      <c r="G8" s="53"/>
      <c r="H8" s="54"/>
      <c r="I8" s="53"/>
      <c r="J8" s="53"/>
      <c r="K8" s="53"/>
      <c r="L8" s="53"/>
      <c r="M8" s="50"/>
      <c r="N8" s="51"/>
      <c r="O8" s="53"/>
      <c r="P8" s="54"/>
      <c r="Q8" s="53"/>
      <c r="R8" s="53"/>
      <c r="S8" s="53"/>
      <c r="T8" s="53"/>
      <c r="U8" s="53"/>
      <c r="V8" s="52"/>
      <c r="W8" s="52"/>
      <c r="X8" s="50"/>
      <c r="Y8" s="51"/>
      <c r="Z8" s="54"/>
      <c r="AA8" s="53"/>
      <c r="AB8" s="55"/>
      <c r="AC8" s="53"/>
      <c r="AD8" s="52"/>
      <c r="AE8" s="53"/>
      <c r="AF8" s="55"/>
      <c r="AG8" s="53"/>
      <c r="AH8" s="53"/>
      <c r="AJ8" s="17">
        <f t="shared" si="0"/>
        <v>0</v>
      </c>
      <c r="AK8" s="17">
        <v>7</v>
      </c>
      <c r="AL8" s="47">
        <v>49</v>
      </c>
      <c r="AM8" s="47">
        <v>55</v>
      </c>
      <c r="AN8" s="48" t="s">
        <v>388</v>
      </c>
      <c r="AO8" s="49" t="s">
        <v>395</v>
      </c>
      <c r="AP8" s="477" t="s">
        <v>396</v>
      </c>
      <c r="AQ8" s="388"/>
      <c r="AR8" s="477" t="s">
        <v>397</v>
      </c>
      <c r="AS8" s="388"/>
      <c r="AT8" s="477" t="s">
        <v>398</v>
      </c>
      <c r="AU8" s="388"/>
      <c r="AV8" s="477" t="s">
        <v>399</v>
      </c>
      <c r="AW8" s="388"/>
      <c r="AX8" s="477" t="s">
        <v>400</v>
      </c>
      <c r="AY8" s="388"/>
    </row>
    <row r="9" spans="1:51" ht="12.75" hidden="1" customHeight="1" x14ac:dyDescent="0.25">
      <c r="B9" s="50"/>
      <c r="C9" s="51"/>
      <c r="D9" s="53"/>
      <c r="E9" s="53"/>
      <c r="F9" s="53"/>
      <c r="G9" s="53"/>
      <c r="H9" s="53"/>
      <c r="I9" s="53"/>
      <c r="J9" s="54"/>
      <c r="K9" s="52"/>
      <c r="L9" s="53"/>
      <c r="M9" s="50"/>
      <c r="N9" s="51"/>
      <c r="O9" s="54"/>
      <c r="P9" s="53"/>
      <c r="Q9" s="53"/>
      <c r="R9" s="52"/>
      <c r="S9" s="53"/>
      <c r="T9" s="53"/>
      <c r="U9" s="53"/>
      <c r="V9" s="53"/>
      <c r="W9" s="52"/>
      <c r="X9" s="50"/>
      <c r="Y9" s="51"/>
      <c r="Z9" s="53"/>
      <c r="AA9" s="53"/>
      <c r="AB9" s="55"/>
      <c r="AC9" s="53"/>
      <c r="AD9" s="53"/>
      <c r="AE9" s="53"/>
      <c r="AF9" s="55"/>
      <c r="AG9" s="54"/>
      <c r="AH9" s="53"/>
      <c r="AJ9" s="17">
        <f t="shared" si="0"/>
        <v>0</v>
      </c>
      <c r="AK9" s="17">
        <v>8</v>
      </c>
      <c r="AL9" s="47">
        <v>56</v>
      </c>
      <c r="AM9" s="47">
        <v>62</v>
      </c>
      <c r="AN9" s="48" t="s">
        <v>388</v>
      </c>
      <c r="AO9" s="49" t="s">
        <v>401</v>
      </c>
      <c r="AP9" s="477" t="s">
        <v>402</v>
      </c>
      <c r="AQ9" s="388"/>
      <c r="AR9" s="477" t="s">
        <v>403</v>
      </c>
      <c r="AS9" s="388"/>
      <c r="AT9" s="477" t="s">
        <v>404</v>
      </c>
      <c r="AU9" s="388"/>
      <c r="AV9" s="477" t="s">
        <v>405</v>
      </c>
      <c r="AW9" s="388"/>
      <c r="AX9" s="477" t="s">
        <v>406</v>
      </c>
      <c r="AY9" s="388"/>
    </row>
    <row r="10" spans="1:51" ht="12.75" hidden="1" customHeight="1" x14ac:dyDescent="0.25">
      <c r="B10" s="50"/>
      <c r="C10" s="51"/>
      <c r="D10" s="53"/>
      <c r="E10" s="52"/>
      <c r="F10" s="53"/>
      <c r="G10" s="54"/>
      <c r="H10" s="53"/>
      <c r="I10" s="53"/>
      <c r="J10" s="53"/>
      <c r="K10" s="53"/>
      <c r="L10" s="53"/>
      <c r="M10" s="50"/>
      <c r="N10" s="51"/>
      <c r="O10" s="52"/>
      <c r="P10" s="53"/>
      <c r="Q10" s="53"/>
      <c r="R10" s="53"/>
      <c r="S10" s="53"/>
      <c r="T10" s="53"/>
      <c r="U10" s="53"/>
      <c r="V10" s="54"/>
      <c r="W10" s="52"/>
      <c r="X10" s="50"/>
      <c r="Y10" s="51"/>
      <c r="Z10" s="53"/>
      <c r="AA10" s="52"/>
      <c r="AB10" s="55"/>
      <c r="AC10" s="53"/>
      <c r="AD10" s="53"/>
      <c r="AE10" s="54"/>
      <c r="AF10" s="55"/>
      <c r="AG10" s="53"/>
      <c r="AH10" s="53"/>
      <c r="AJ10" s="17">
        <f t="shared" si="0"/>
        <v>0</v>
      </c>
      <c r="AK10" s="17">
        <v>9</v>
      </c>
      <c r="AL10" s="47">
        <v>63</v>
      </c>
      <c r="AM10" s="47">
        <v>69</v>
      </c>
      <c r="AN10" s="48" t="s">
        <v>388</v>
      </c>
      <c r="AO10" s="49" t="s">
        <v>407</v>
      </c>
      <c r="AP10" s="477" t="s">
        <v>408</v>
      </c>
      <c r="AQ10" s="388"/>
      <c r="AR10" s="477" t="s">
        <v>409</v>
      </c>
      <c r="AS10" s="388"/>
      <c r="AT10" s="477" t="s">
        <v>410</v>
      </c>
      <c r="AU10" s="388"/>
      <c r="AV10" s="477" t="s">
        <v>411</v>
      </c>
      <c r="AW10" s="388"/>
      <c r="AX10" s="477" t="s">
        <v>412</v>
      </c>
      <c r="AY10" s="388"/>
    </row>
    <row r="11" spans="1:51" ht="12.75" hidden="1" customHeight="1" x14ac:dyDescent="0.25">
      <c r="B11" s="50"/>
      <c r="C11" s="51"/>
      <c r="D11" s="54"/>
      <c r="E11" s="53"/>
      <c r="F11" s="53"/>
      <c r="G11" s="53"/>
      <c r="H11" s="53"/>
      <c r="I11" s="53"/>
      <c r="J11" s="53"/>
      <c r="K11" s="53"/>
      <c r="L11" s="53"/>
      <c r="M11" s="50"/>
      <c r="N11" s="51"/>
      <c r="O11" s="52"/>
      <c r="P11" s="53"/>
      <c r="Q11" s="53"/>
      <c r="R11" s="53"/>
      <c r="S11" s="53"/>
      <c r="T11" s="53"/>
      <c r="U11" s="53"/>
      <c r="V11" s="53"/>
      <c r="W11" s="54"/>
      <c r="X11" s="50"/>
      <c r="Y11" s="51"/>
      <c r="Z11" s="52"/>
      <c r="AA11" s="53"/>
      <c r="AB11" s="55"/>
      <c r="AC11" s="53"/>
      <c r="AD11" s="54"/>
      <c r="AE11" s="53"/>
      <c r="AF11" s="55"/>
      <c r="AG11" s="53"/>
      <c r="AH11" s="53"/>
      <c r="AJ11" s="17">
        <f t="shared" si="0"/>
        <v>0</v>
      </c>
      <c r="AK11" s="17">
        <v>10</v>
      </c>
      <c r="AL11" s="47">
        <v>70</v>
      </c>
      <c r="AM11" s="47">
        <v>90</v>
      </c>
      <c r="AN11" s="48" t="s">
        <v>388</v>
      </c>
      <c r="AO11" s="49" t="s">
        <v>413</v>
      </c>
      <c r="AP11" s="477" t="s">
        <v>414</v>
      </c>
      <c r="AQ11" s="388"/>
      <c r="AR11" s="477" t="s">
        <v>415</v>
      </c>
      <c r="AS11" s="388"/>
      <c r="AT11" s="477" t="s">
        <v>416</v>
      </c>
      <c r="AU11" s="388"/>
      <c r="AV11" s="477" t="s">
        <v>417</v>
      </c>
      <c r="AW11" s="388"/>
      <c r="AX11" s="477" t="s">
        <v>418</v>
      </c>
      <c r="AY11" s="388"/>
    </row>
    <row r="12" spans="1:51" ht="12.75" hidden="1" customHeight="1" x14ac:dyDescent="0.25">
      <c r="B12" s="50"/>
      <c r="C12" s="51"/>
      <c r="D12" s="53"/>
      <c r="E12" s="53"/>
      <c r="F12" s="53"/>
      <c r="G12" s="53"/>
      <c r="H12" s="53"/>
      <c r="I12" s="53"/>
      <c r="J12" s="52"/>
      <c r="K12" s="53"/>
      <c r="L12" s="54"/>
      <c r="M12" s="50"/>
      <c r="N12" s="51"/>
      <c r="O12" s="53"/>
      <c r="P12" s="54"/>
      <c r="Q12" s="53"/>
      <c r="R12" s="53"/>
      <c r="S12" s="53"/>
      <c r="T12" s="52"/>
      <c r="U12" s="53"/>
      <c r="V12" s="53"/>
      <c r="W12" s="52"/>
      <c r="X12" s="50"/>
      <c r="Y12" s="51"/>
      <c r="Z12" s="53"/>
      <c r="AA12" s="53"/>
      <c r="AB12" s="55"/>
      <c r="AC12" s="53"/>
      <c r="AD12" s="54"/>
      <c r="AE12" s="53"/>
      <c r="AF12" s="55"/>
      <c r="AG12" s="53"/>
      <c r="AH12" s="53"/>
    </row>
    <row r="13" spans="1:51" ht="12.75" hidden="1" customHeight="1" x14ac:dyDescent="0.25">
      <c r="B13" s="50"/>
      <c r="C13" s="51"/>
      <c r="D13" s="53"/>
      <c r="E13" s="53"/>
      <c r="F13" s="53"/>
      <c r="G13" s="54"/>
      <c r="H13" s="52"/>
      <c r="I13" s="53"/>
      <c r="J13" s="53"/>
      <c r="K13" s="53"/>
      <c r="L13" s="53"/>
      <c r="M13" s="50"/>
      <c r="N13" s="51"/>
      <c r="O13" s="53"/>
      <c r="P13" s="53"/>
      <c r="Q13" s="53"/>
      <c r="R13" s="53"/>
      <c r="S13" s="52"/>
      <c r="T13" s="53"/>
      <c r="U13" s="54"/>
      <c r="V13" s="53"/>
      <c r="W13" s="52"/>
      <c r="X13" s="50"/>
      <c r="Y13" s="51"/>
      <c r="Z13" s="53"/>
      <c r="AA13" s="54"/>
      <c r="AB13" s="55"/>
      <c r="AC13" s="53"/>
      <c r="AD13" s="53"/>
      <c r="AE13" s="53"/>
      <c r="AF13" s="55"/>
      <c r="AG13" s="53"/>
      <c r="AH13" s="53"/>
    </row>
    <row r="14" spans="1:51" ht="12.75" hidden="1" customHeight="1" x14ac:dyDescent="0.25">
      <c r="B14" s="50"/>
      <c r="C14" s="51"/>
      <c r="D14" s="53"/>
      <c r="E14" s="53"/>
      <c r="F14" s="53"/>
      <c r="G14" s="53"/>
      <c r="H14" s="53"/>
      <c r="I14" s="52"/>
      <c r="J14" s="54"/>
      <c r="K14" s="53"/>
      <c r="L14" s="53"/>
      <c r="M14" s="50"/>
      <c r="N14" s="51"/>
      <c r="O14" s="52"/>
      <c r="P14" s="53"/>
      <c r="Q14" s="53"/>
      <c r="R14" s="53"/>
      <c r="S14" s="53"/>
      <c r="T14" s="53"/>
      <c r="U14" s="53"/>
      <c r="V14" s="54"/>
      <c r="W14" s="52"/>
      <c r="X14" s="50"/>
      <c r="Y14" s="51"/>
      <c r="Z14" s="53"/>
      <c r="AA14" s="52"/>
      <c r="AB14" s="54"/>
      <c r="AC14" s="53"/>
      <c r="AD14" s="53"/>
      <c r="AE14" s="52"/>
      <c r="AF14" s="55"/>
      <c r="AG14" s="53"/>
      <c r="AH14" s="53"/>
    </row>
    <row r="15" spans="1:51" ht="12.75" hidden="1" customHeight="1" x14ac:dyDescent="0.25">
      <c r="B15" s="50"/>
      <c r="C15" s="51"/>
      <c r="D15" s="53"/>
      <c r="E15" s="53"/>
      <c r="F15" s="53"/>
      <c r="G15" s="53"/>
      <c r="H15" s="53"/>
      <c r="I15" s="53"/>
      <c r="J15" s="53"/>
      <c r="K15" s="54"/>
      <c r="L15" s="52"/>
      <c r="M15" s="50"/>
      <c r="N15" s="51"/>
      <c r="O15" s="53"/>
      <c r="P15" s="53"/>
      <c r="Q15" s="53"/>
      <c r="R15" s="53"/>
      <c r="S15" s="54"/>
      <c r="T15" s="53"/>
      <c r="U15" s="53"/>
      <c r="V15" s="53"/>
      <c r="W15" s="52"/>
      <c r="X15" s="50"/>
      <c r="Y15" s="51"/>
      <c r="Z15" s="54"/>
      <c r="AA15" s="53"/>
      <c r="AB15" s="55"/>
      <c r="AC15" s="53"/>
      <c r="AD15" s="53"/>
      <c r="AE15" s="52"/>
      <c r="AF15" s="55"/>
      <c r="AG15" s="53"/>
      <c r="AH15" s="53"/>
    </row>
    <row r="16" spans="1:51" ht="12.75" hidden="1" customHeight="1" x14ac:dyDescent="0.25">
      <c r="B16" s="50"/>
      <c r="C16" s="51"/>
      <c r="D16" s="53"/>
      <c r="E16" s="53"/>
      <c r="F16" s="54"/>
      <c r="G16" s="53"/>
      <c r="H16" s="53"/>
      <c r="I16" s="52"/>
      <c r="J16" s="53"/>
      <c r="K16" s="53"/>
      <c r="L16" s="53"/>
      <c r="M16" s="50"/>
      <c r="N16" s="51"/>
      <c r="O16" s="53"/>
      <c r="P16" s="53"/>
      <c r="Q16" s="54"/>
      <c r="R16" s="53"/>
      <c r="S16" s="52"/>
      <c r="T16" s="53"/>
      <c r="U16" s="53"/>
      <c r="V16" s="53"/>
      <c r="W16" s="52"/>
      <c r="X16" s="50"/>
      <c r="Y16" s="51"/>
      <c r="Z16" s="53"/>
      <c r="AA16" s="53"/>
      <c r="AB16" s="55"/>
      <c r="AC16" s="53"/>
      <c r="AD16" s="52"/>
      <c r="AE16" s="54"/>
      <c r="AF16" s="55"/>
      <c r="AG16" s="53"/>
      <c r="AH16" s="53"/>
    </row>
    <row r="17" spans="2:34" ht="12.75" hidden="1" customHeight="1" x14ac:dyDescent="0.25">
      <c r="B17" s="50"/>
      <c r="C17" s="51"/>
      <c r="D17" s="54"/>
      <c r="E17" s="53"/>
      <c r="F17" s="53"/>
      <c r="G17" s="53"/>
      <c r="H17" s="53"/>
      <c r="I17" s="53"/>
      <c r="J17" s="53"/>
      <c r="K17" s="53"/>
      <c r="L17" s="53"/>
      <c r="M17" s="50"/>
      <c r="N17" s="51"/>
      <c r="O17" s="53"/>
      <c r="P17" s="53"/>
      <c r="Q17" s="53"/>
      <c r="R17" s="54"/>
      <c r="S17" s="53"/>
      <c r="T17" s="53"/>
      <c r="U17" s="52"/>
      <c r="V17" s="53"/>
      <c r="W17" s="52"/>
      <c r="X17" s="50"/>
      <c r="Y17" s="51"/>
      <c r="Z17" s="52"/>
      <c r="AA17" s="53"/>
      <c r="AB17" s="55"/>
      <c r="AC17" s="53"/>
      <c r="AD17" s="53"/>
      <c r="AE17" s="53"/>
      <c r="AF17" s="55"/>
      <c r="AG17" s="53"/>
      <c r="AH17" s="54"/>
    </row>
    <row r="18" spans="2:34" ht="12.75" hidden="1" customHeight="1" x14ac:dyDescent="0.25">
      <c r="B18" s="50"/>
      <c r="C18" s="51"/>
      <c r="D18" s="53"/>
      <c r="E18" s="53"/>
      <c r="F18" s="53"/>
      <c r="G18" s="53"/>
      <c r="H18" s="53"/>
      <c r="I18" s="54"/>
      <c r="J18" s="53"/>
      <c r="K18" s="53"/>
      <c r="L18" s="52"/>
      <c r="M18" s="50"/>
      <c r="N18" s="51"/>
      <c r="O18" s="53"/>
      <c r="P18" s="53"/>
      <c r="Q18" s="53"/>
      <c r="R18" s="53"/>
      <c r="S18" s="53"/>
      <c r="T18" s="54"/>
      <c r="U18" s="52"/>
      <c r="V18" s="53"/>
      <c r="W18" s="52"/>
      <c r="X18" s="50"/>
      <c r="Y18" s="51"/>
      <c r="Z18" s="53"/>
      <c r="AA18" s="53"/>
      <c r="AB18" s="56"/>
      <c r="AC18" s="54"/>
      <c r="AD18" s="53"/>
      <c r="AE18" s="53"/>
      <c r="AF18" s="55"/>
      <c r="AG18" s="53"/>
      <c r="AH18" s="53"/>
    </row>
    <row r="19" spans="2:34" ht="12.75" hidden="1" customHeight="1" x14ac:dyDescent="0.25">
      <c r="B19" s="50"/>
      <c r="C19" s="51"/>
      <c r="D19" s="52"/>
      <c r="E19" s="54"/>
      <c r="F19" s="53"/>
      <c r="G19" s="53"/>
      <c r="H19" s="53"/>
      <c r="I19" s="53"/>
      <c r="J19" s="53"/>
      <c r="K19" s="52"/>
      <c r="L19" s="53"/>
      <c r="M19" s="50"/>
      <c r="N19" s="51"/>
      <c r="O19" s="54"/>
      <c r="P19" s="53"/>
      <c r="Q19" s="53"/>
      <c r="R19" s="53"/>
      <c r="S19" s="53"/>
      <c r="T19" s="53"/>
      <c r="U19" s="52"/>
      <c r="V19" s="53"/>
      <c r="W19" s="52"/>
      <c r="X19" s="50"/>
      <c r="Y19" s="51"/>
      <c r="Z19" s="53"/>
      <c r="AA19" s="53"/>
      <c r="AB19" s="56"/>
      <c r="AC19" s="53"/>
      <c r="AD19" s="53"/>
      <c r="AE19" s="53"/>
      <c r="AF19" s="55"/>
      <c r="AG19" s="54"/>
      <c r="AH19" s="53"/>
    </row>
    <row r="20" spans="2:34" ht="12.75" hidden="1" customHeight="1" x14ac:dyDescent="0.25">
      <c r="B20" s="50"/>
      <c r="C20" s="51"/>
      <c r="D20" s="53"/>
      <c r="E20" s="53"/>
      <c r="F20" s="53"/>
      <c r="G20" s="53"/>
      <c r="H20" s="54"/>
      <c r="I20" s="52"/>
      <c r="J20" s="53"/>
      <c r="K20" s="53"/>
      <c r="L20" s="53"/>
      <c r="M20" s="50"/>
      <c r="N20" s="51"/>
      <c r="O20" s="53"/>
      <c r="P20" s="53"/>
      <c r="Q20" s="53"/>
      <c r="R20" s="53"/>
      <c r="S20" s="53"/>
      <c r="T20" s="53"/>
      <c r="U20" s="52"/>
      <c r="V20" s="53"/>
      <c r="W20" s="54"/>
      <c r="X20" s="50"/>
      <c r="Y20" s="51"/>
      <c r="Z20" s="52"/>
      <c r="AA20" s="53"/>
      <c r="AB20" s="55"/>
      <c r="AC20" s="53"/>
      <c r="AD20" s="53"/>
      <c r="AE20" s="53"/>
      <c r="AF20" s="54"/>
      <c r="AG20" s="53"/>
      <c r="AH20" s="53"/>
    </row>
    <row r="21" spans="2:34" ht="12.75" hidden="1" customHeight="1" x14ac:dyDescent="0.25">
      <c r="B21" s="50"/>
      <c r="C21" s="51"/>
      <c r="D21" s="53"/>
      <c r="E21" s="53"/>
      <c r="F21" s="53"/>
      <c r="G21" s="53"/>
      <c r="H21" s="53"/>
      <c r="I21" s="52"/>
      <c r="J21" s="53"/>
      <c r="K21" s="54"/>
      <c r="L21" s="53"/>
      <c r="M21" s="50"/>
      <c r="N21" s="51"/>
      <c r="O21" s="53"/>
      <c r="P21" s="52"/>
      <c r="Q21" s="54"/>
      <c r="R21" s="53"/>
      <c r="S21" s="53"/>
      <c r="T21" s="53"/>
      <c r="U21" s="53"/>
      <c r="V21" s="53"/>
      <c r="W21" s="52"/>
      <c r="X21" s="50"/>
      <c r="Y21" s="51"/>
      <c r="Z21" s="53"/>
      <c r="AA21" s="52"/>
      <c r="AB21" s="54"/>
      <c r="AC21" s="53"/>
      <c r="AD21" s="53"/>
      <c r="AE21" s="53"/>
      <c r="AF21" s="55"/>
      <c r="AG21" s="53"/>
      <c r="AH21" s="53"/>
    </row>
    <row r="22" spans="2:34" ht="12.75" hidden="1" customHeight="1" x14ac:dyDescent="0.25">
      <c r="B22" s="50"/>
      <c r="C22" s="51"/>
      <c r="D22" s="53"/>
      <c r="E22" s="52"/>
      <c r="F22" s="53"/>
      <c r="G22" s="53"/>
      <c r="H22" s="54"/>
      <c r="I22" s="53"/>
      <c r="J22" s="53"/>
      <c r="K22" s="53"/>
      <c r="L22" s="53"/>
      <c r="M22" s="50"/>
      <c r="N22" s="51"/>
      <c r="O22" s="53"/>
      <c r="P22" s="53"/>
      <c r="Q22" s="53"/>
      <c r="R22" s="53"/>
      <c r="S22" s="53"/>
      <c r="T22" s="52"/>
      <c r="U22" s="54"/>
      <c r="V22" s="53"/>
      <c r="W22" s="52"/>
      <c r="X22" s="50"/>
      <c r="Y22" s="51"/>
      <c r="Z22" s="53"/>
      <c r="AA22" s="53"/>
      <c r="AB22" s="55"/>
      <c r="AC22" s="54"/>
      <c r="AD22" s="53"/>
      <c r="AE22" s="52"/>
      <c r="AF22" s="55"/>
      <c r="AG22" s="53"/>
      <c r="AH22" s="53"/>
    </row>
    <row r="23" spans="2:34" ht="12.75" hidden="1" customHeight="1" x14ac:dyDescent="0.25">
      <c r="B23" s="50"/>
      <c r="C23" s="51"/>
      <c r="D23" s="52"/>
      <c r="E23" s="54"/>
      <c r="F23" s="53"/>
      <c r="G23" s="53"/>
      <c r="H23" s="53"/>
      <c r="I23" s="52"/>
      <c r="J23" s="53"/>
      <c r="K23" s="53"/>
      <c r="L23" s="53"/>
      <c r="M23" s="50"/>
      <c r="N23" s="51"/>
      <c r="O23" s="54"/>
      <c r="P23" s="53"/>
      <c r="Q23" s="53"/>
      <c r="R23" s="53"/>
      <c r="S23" s="53"/>
      <c r="T23" s="53"/>
      <c r="U23" s="52"/>
      <c r="V23" s="53"/>
      <c r="W23" s="52"/>
      <c r="X23" s="50"/>
      <c r="Y23" s="51"/>
      <c r="Z23" s="53"/>
      <c r="AA23" s="53"/>
      <c r="AB23" s="56"/>
      <c r="AC23" s="53"/>
      <c r="AD23" s="53"/>
      <c r="AE23" s="53"/>
      <c r="AF23" s="54"/>
      <c r="AG23" s="53"/>
      <c r="AH23" s="53"/>
    </row>
    <row r="24" spans="2:34" ht="12.75" hidden="1" customHeight="1" x14ac:dyDescent="0.25">
      <c r="B24" s="50"/>
      <c r="C24" s="51"/>
      <c r="D24" s="52"/>
      <c r="E24" s="53"/>
      <c r="F24" s="53"/>
      <c r="G24" s="54"/>
      <c r="H24" s="53"/>
      <c r="I24" s="53"/>
      <c r="J24" s="53"/>
      <c r="K24" s="53"/>
      <c r="L24" s="53"/>
      <c r="M24" s="50"/>
      <c r="N24" s="51"/>
      <c r="O24" s="53"/>
      <c r="P24" s="53"/>
      <c r="Q24" s="53"/>
      <c r="R24" s="52"/>
      <c r="S24" s="54"/>
      <c r="T24" s="53"/>
      <c r="U24" s="53"/>
      <c r="V24" s="53"/>
      <c r="W24" s="52"/>
      <c r="X24" s="50"/>
      <c r="Y24" s="51"/>
      <c r="Z24" s="53"/>
      <c r="AA24" s="53"/>
      <c r="AB24" s="55"/>
      <c r="AC24" s="53"/>
      <c r="AD24" s="53"/>
      <c r="AE24" s="53"/>
      <c r="AF24" s="55"/>
      <c r="AG24" s="53"/>
      <c r="AH24" s="54"/>
    </row>
    <row r="25" spans="2:34" ht="12.75" hidden="1" customHeight="1" x14ac:dyDescent="0.25">
      <c r="B25" s="50"/>
      <c r="C25" s="51"/>
      <c r="D25" s="52"/>
      <c r="E25" s="53"/>
      <c r="F25" s="53"/>
      <c r="G25" s="53"/>
      <c r="H25" s="53"/>
      <c r="I25" s="53"/>
      <c r="J25" s="54"/>
      <c r="K25" s="53"/>
      <c r="L25" s="53"/>
      <c r="M25" s="50"/>
      <c r="N25" s="51"/>
      <c r="O25" s="53"/>
      <c r="P25" s="54"/>
      <c r="Q25" s="53"/>
      <c r="R25" s="53"/>
      <c r="S25" s="52"/>
      <c r="T25" s="53"/>
      <c r="U25" s="53"/>
      <c r="V25" s="53"/>
      <c r="W25" s="52"/>
      <c r="X25" s="50"/>
      <c r="Y25" s="51"/>
      <c r="Z25" s="52"/>
      <c r="AA25" s="53"/>
      <c r="AB25" s="55"/>
      <c r="AC25" s="53"/>
      <c r="AD25" s="53"/>
      <c r="AE25" s="53"/>
      <c r="AF25" s="55"/>
      <c r="AG25" s="54"/>
      <c r="AH25" s="53"/>
    </row>
    <row r="26" spans="2:34" ht="12.75" hidden="1" customHeight="1" x14ac:dyDescent="0.25">
      <c r="B26" s="50"/>
      <c r="C26" s="51"/>
      <c r="D26" s="54"/>
      <c r="E26" s="53"/>
      <c r="F26" s="53"/>
      <c r="G26" s="53"/>
      <c r="H26" s="53"/>
      <c r="I26" s="53"/>
      <c r="J26" s="53"/>
      <c r="K26" s="53"/>
      <c r="L26" s="53"/>
      <c r="M26" s="50"/>
      <c r="N26" s="51"/>
      <c r="O26" s="53"/>
      <c r="P26" s="53"/>
      <c r="Q26" s="53"/>
      <c r="R26" s="54"/>
      <c r="S26" s="53"/>
      <c r="T26" s="53"/>
      <c r="U26" s="53"/>
      <c r="V26" s="53"/>
      <c r="W26" s="52"/>
      <c r="X26" s="50"/>
      <c r="Y26" s="51"/>
      <c r="Z26" s="53"/>
      <c r="AA26" s="53"/>
      <c r="AB26" s="55"/>
      <c r="AC26" s="53"/>
      <c r="AD26" s="54"/>
      <c r="AE26" s="53"/>
      <c r="AF26" s="55"/>
      <c r="AG26" s="53"/>
      <c r="AH26" s="53"/>
    </row>
    <row r="27" spans="2:34" ht="12.75" hidden="1" customHeight="1" x14ac:dyDescent="0.25">
      <c r="B27" s="50"/>
      <c r="C27" s="51"/>
      <c r="D27" s="53"/>
      <c r="E27" s="53"/>
      <c r="F27" s="53"/>
      <c r="G27" s="52"/>
      <c r="H27" s="53"/>
      <c r="I27" s="53"/>
      <c r="J27" s="53"/>
      <c r="K27" s="53"/>
      <c r="L27" s="54"/>
      <c r="M27" s="50"/>
      <c r="N27" s="51"/>
      <c r="O27" s="53"/>
      <c r="P27" s="53"/>
      <c r="Q27" s="53"/>
      <c r="R27" s="53"/>
      <c r="S27" s="53"/>
      <c r="T27" s="52"/>
      <c r="U27" s="53"/>
      <c r="V27" s="54"/>
      <c r="W27" s="52"/>
      <c r="X27" s="50"/>
      <c r="Y27" s="51"/>
      <c r="Z27" s="54"/>
      <c r="AA27" s="53"/>
      <c r="AB27" s="55"/>
      <c r="AC27" s="53"/>
      <c r="AD27" s="53"/>
      <c r="AE27" s="53"/>
      <c r="AF27" s="55"/>
      <c r="AG27" s="53"/>
      <c r="AH27" s="53"/>
    </row>
    <row r="28" spans="2:34" ht="12.75" hidden="1" customHeight="1" x14ac:dyDescent="0.25">
      <c r="B28" s="50"/>
      <c r="C28" s="51"/>
      <c r="D28" s="53"/>
      <c r="E28" s="53"/>
      <c r="F28" s="54"/>
      <c r="G28" s="53"/>
      <c r="H28" s="53"/>
      <c r="I28" s="52"/>
      <c r="J28" s="53"/>
      <c r="K28" s="53"/>
      <c r="L28" s="53"/>
      <c r="M28" s="50"/>
      <c r="N28" s="51"/>
      <c r="O28" s="53"/>
      <c r="P28" s="52"/>
      <c r="Q28" s="53"/>
      <c r="R28" s="53"/>
      <c r="S28" s="53"/>
      <c r="T28" s="53"/>
      <c r="U28" s="53"/>
      <c r="V28" s="53"/>
      <c r="W28" s="54"/>
      <c r="X28" s="50"/>
      <c r="Y28" s="51"/>
      <c r="Z28" s="53"/>
      <c r="AA28" s="54"/>
      <c r="AB28" s="55"/>
      <c r="AC28" s="53"/>
      <c r="AD28" s="53"/>
      <c r="AE28" s="52"/>
      <c r="AF28" s="55"/>
      <c r="AG28" s="53"/>
      <c r="AH28" s="53"/>
    </row>
    <row r="29" spans="2:34" ht="12.75" hidden="1" customHeight="1" x14ac:dyDescent="0.25">
      <c r="B29" s="50"/>
      <c r="C29" s="51"/>
      <c r="D29" s="53"/>
      <c r="E29" s="53"/>
      <c r="F29" s="53"/>
      <c r="G29" s="53"/>
      <c r="H29" s="53"/>
      <c r="I29" s="54"/>
      <c r="J29" s="53"/>
      <c r="K29" s="52"/>
      <c r="L29" s="53"/>
      <c r="M29" s="50"/>
      <c r="N29" s="51"/>
      <c r="O29" s="53"/>
      <c r="P29" s="53"/>
      <c r="Q29" s="53"/>
      <c r="R29" s="53"/>
      <c r="S29" s="53"/>
      <c r="T29" s="54"/>
      <c r="U29" s="52"/>
      <c r="V29" s="53"/>
      <c r="W29" s="52"/>
      <c r="X29" s="50"/>
      <c r="Y29" s="51"/>
      <c r="Z29" s="53"/>
      <c r="AA29" s="52"/>
      <c r="AB29" s="55"/>
      <c r="AC29" s="53"/>
      <c r="AD29" s="53"/>
      <c r="AE29" s="54"/>
      <c r="AF29" s="55"/>
      <c r="AG29" s="53"/>
      <c r="AH29" s="53"/>
    </row>
    <row r="30" spans="2:34" ht="12.75" hidden="1" customHeight="1" x14ac:dyDescent="0.25">
      <c r="B30" s="50"/>
      <c r="C30" s="51"/>
      <c r="D30" s="52"/>
      <c r="E30" s="54"/>
      <c r="F30" s="52"/>
      <c r="G30" s="53"/>
      <c r="H30" s="53"/>
      <c r="I30" s="53"/>
      <c r="J30" s="53"/>
      <c r="K30" s="53"/>
      <c r="L30" s="53"/>
      <c r="M30" s="50"/>
      <c r="N30" s="51"/>
      <c r="O30" s="53"/>
      <c r="P30" s="52"/>
      <c r="Q30" s="53"/>
      <c r="R30" s="53"/>
      <c r="S30" s="53"/>
      <c r="T30" s="54"/>
      <c r="U30" s="53"/>
      <c r="V30" s="53"/>
      <c r="W30" s="52"/>
      <c r="X30" s="50"/>
      <c r="Y30" s="51"/>
      <c r="Z30" s="54"/>
      <c r="AA30" s="53"/>
      <c r="AB30" s="55"/>
      <c r="AC30" s="53"/>
      <c r="AD30" s="52"/>
      <c r="AE30" s="53"/>
      <c r="AF30" s="55"/>
      <c r="AG30" s="53"/>
      <c r="AH30" s="53"/>
    </row>
    <row r="31" spans="2:34" ht="12.75" hidden="1" customHeight="1" x14ac:dyDescent="0.25">
      <c r="B31" s="50"/>
      <c r="C31" s="51"/>
      <c r="D31" s="53"/>
      <c r="E31" s="53"/>
      <c r="F31" s="54"/>
      <c r="G31" s="53"/>
      <c r="H31" s="53"/>
      <c r="I31" s="53"/>
      <c r="J31" s="53"/>
      <c r="K31" s="52"/>
      <c r="L31" s="53"/>
      <c r="M31" s="50"/>
      <c r="N31" s="51"/>
      <c r="O31" s="54"/>
      <c r="P31" s="53"/>
      <c r="Q31" s="53"/>
      <c r="R31" s="53"/>
      <c r="S31" s="53"/>
      <c r="T31" s="53"/>
      <c r="U31" s="52"/>
      <c r="V31" s="53"/>
      <c r="W31" s="52"/>
      <c r="X31" s="50"/>
      <c r="Y31" s="51"/>
      <c r="Z31" s="53"/>
      <c r="AA31" s="54"/>
      <c r="AB31" s="55"/>
      <c r="AC31" s="53"/>
      <c r="AD31" s="53"/>
      <c r="AE31" s="52"/>
      <c r="AF31" s="55"/>
      <c r="AG31" s="53"/>
      <c r="AH31" s="53"/>
    </row>
    <row r="32" spans="2:34" ht="12.75" hidden="1" customHeight="1" x14ac:dyDescent="0.25">
      <c r="B32" s="50"/>
      <c r="C32" s="51"/>
      <c r="D32" s="53"/>
      <c r="E32" s="52"/>
      <c r="F32" s="53"/>
      <c r="G32" s="53"/>
      <c r="H32" s="53"/>
      <c r="I32" s="53"/>
      <c r="J32" s="53"/>
      <c r="K32" s="54"/>
      <c r="L32" s="53"/>
      <c r="M32" s="50"/>
      <c r="N32" s="51"/>
      <c r="O32" s="53"/>
      <c r="P32" s="54"/>
      <c r="Q32" s="53"/>
      <c r="R32" s="53"/>
      <c r="S32" s="53"/>
      <c r="T32" s="53"/>
      <c r="U32" s="53"/>
      <c r="V32" s="53"/>
      <c r="W32" s="52"/>
      <c r="X32" s="50"/>
      <c r="Y32" s="51"/>
      <c r="Z32" s="53"/>
      <c r="AA32" s="53"/>
      <c r="AB32" s="55"/>
      <c r="AC32" s="53"/>
      <c r="AD32" s="54"/>
      <c r="AE32" s="53"/>
      <c r="AF32" s="55"/>
      <c r="AG32" s="53"/>
      <c r="AH32" s="53"/>
    </row>
    <row r="33" spans="2:34" ht="12.75" hidden="1" customHeight="1" x14ac:dyDescent="0.25">
      <c r="B33" s="50"/>
      <c r="C33" s="51"/>
      <c r="D33" s="53"/>
      <c r="E33" s="53"/>
      <c r="F33" s="52"/>
      <c r="G33" s="53"/>
      <c r="H33" s="54"/>
      <c r="I33" s="53"/>
      <c r="J33" s="53"/>
      <c r="K33" s="53"/>
      <c r="L33" s="53"/>
      <c r="M33" s="50"/>
      <c r="N33" s="51"/>
      <c r="O33" s="53"/>
      <c r="P33" s="53"/>
      <c r="Q33" s="53"/>
      <c r="R33" s="53"/>
      <c r="S33" s="53"/>
      <c r="T33" s="53"/>
      <c r="U33" s="52"/>
      <c r="V33" s="54"/>
      <c r="W33" s="52"/>
      <c r="X33" s="50"/>
      <c r="Y33" s="51"/>
      <c r="Z33" s="53"/>
      <c r="AA33" s="53"/>
      <c r="AB33" s="55"/>
      <c r="AC33" s="53"/>
      <c r="AD33" s="53"/>
      <c r="AE33" s="54"/>
      <c r="AF33" s="55"/>
      <c r="AG33" s="53"/>
      <c r="AH33" s="53"/>
    </row>
    <row r="34" spans="2:34" ht="12.75" hidden="1" customHeight="1" x14ac:dyDescent="0.25">
      <c r="B34" s="50"/>
      <c r="C34" s="51"/>
      <c r="D34" s="54"/>
      <c r="E34" s="53"/>
      <c r="F34" s="53"/>
      <c r="G34" s="53"/>
      <c r="H34" s="53"/>
      <c r="I34" s="53"/>
      <c r="J34" s="53"/>
      <c r="K34" s="52"/>
      <c r="L34" s="53"/>
      <c r="M34" s="50"/>
      <c r="N34" s="51"/>
      <c r="O34" s="53"/>
      <c r="P34" s="53"/>
      <c r="Q34" s="54"/>
      <c r="R34" s="53"/>
      <c r="S34" s="53"/>
      <c r="T34" s="53"/>
      <c r="U34" s="53"/>
      <c r="V34" s="53"/>
      <c r="W34" s="52"/>
      <c r="X34" s="50"/>
      <c r="Y34" s="51"/>
      <c r="Z34" s="52"/>
      <c r="AA34" s="53"/>
      <c r="AB34" s="55"/>
      <c r="AC34" s="52"/>
      <c r="AD34" s="53"/>
      <c r="AE34" s="53"/>
      <c r="AF34" s="55"/>
      <c r="AG34" s="54"/>
      <c r="AH34" s="53"/>
    </row>
    <row r="35" spans="2:34" ht="12.75" hidden="1" customHeight="1" x14ac:dyDescent="0.25">
      <c r="B35" s="50"/>
      <c r="C35" s="51"/>
      <c r="D35" s="53"/>
      <c r="E35" s="52"/>
      <c r="F35" s="53"/>
      <c r="G35" s="53"/>
      <c r="H35" s="53"/>
      <c r="I35" s="54"/>
      <c r="J35" s="53"/>
      <c r="K35" s="53"/>
      <c r="L35" s="53"/>
      <c r="M35" s="50"/>
      <c r="N35" s="51"/>
      <c r="O35" s="53"/>
      <c r="P35" s="53"/>
      <c r="Q35" s="52"/>
      <c r="R35" s="53"/>
      <c r="S35" s="53"/>
      <c r="T35" s="53"/>
      <c r="U35" s="54"/>
      <c r="V35" s="53"/>
      <c r="W35" s="52"/>
      <c r="X35" s="50"/>
      <c r="Y35" s="51"/>
      <c r="Z35" s="53"/>
      <c r="AA35" s="53"/>
      <c r="AB35" s="55"/>
      <c r="AC35" s="53"/>
      <c r="AD35" s="53"/>
      <c r="AE35" s="53"/>
      <c r="AF35" s="55"/>
      <c r="AG35" s="53"/>
      <c r="AH35" s="54"/>
    </row>
    <row r="36" spans="2:34" ht="12.75" hidden="1" customHeight="1" x14ac:dyDescent="0.25">
      <c r="B36" s="50"/>
      <c r="C36" s="51"/>
      <c r="D36" s="53"/>
      <c r="E36" s="53"/>
      <c r="F36" s="52"/>
      <c r="G36" s="53"/>
      <c r="H36" s="53"/>
      <c r="I36" s="53"/>
      <c r="J36" s="53"/>
      <c r="K36" s="53"/>
      <c r="L36" s="54"/>
      <c r="M36" s="50"/>
      <c r="N36" s="51"/>
      <c r="O36" s="53"/>
      <c r="P36" s="53"/>
      <c r="Q36" s="53"/>
      <c r="R36" s="53"/>
      <c r="S36" s="54"/>
      <c r="T36" s="53"/>
      <c r="U36" s="53"/>
      <c r="V36" s="53"/>
      <c r="W36" s="52"/>
      <c r="X36" s="50"/>
      <c r="Y36" s="51"/>
      <c r="Z36" s="53"/>
      <c r="AA36" s="53"/>
      <c r="AB36" s="55"/>
      <c r="AC36" s="54"/>
      <c r="AD36" s="52"/>
      <c r="AE36" s="53"/>
      <c r="AF36" s="55"/>
      <c r="AG36" s="53"/>
      <c r="AH36" s="53"/>
    </row>
    <row r="37" spans="2:34" ht="12.75" hidden="1" customHeight="1" x14ac:dyDescent="0.25">
      <c r="B37" s="50"/>
      <c r="C37" s="51"/>
      <c r="D37" s="53"/>
      <c r="E37" s="53"/>
      <c r="F37" s="53"/>
      <c r="G37" s="54"/>
      <c r="H37" s="52"/>
      <c r="I37" s="53"/>
      <c r="J37" s="53"/>
      <c r="K37" s="53"/>
      <c r="L37" s="53"/>
      <c r="M37" s="50"/>
      <c r="N37" s="51"/>
      <c r="O37" s="53"/>
      <c r="P37" s="53"/>
      <c r="Q37" s="52"/>
      <c r="R37" s="54"/>
      <c r="S37" s="53"/>
      <c r="T37" s="53"/>
      <c r="U37" s="53"/>
      <c r="V37" s="53"/>
      <c r="W37" s="52"/>
      <c r="X37" s="50"/>
      <c r="Y37" s="51"/>
      <c r="Z37" s="53"/>
      <c r="AA37" s="53"/>
      <c r="AB37" s="55"/>
      <c r="AC37" s="53"/>
      <c r="AD37" s="53"/>
      <c r="AE37" s="53"/>
      <c r="AF37" s="54"/>
      <c r="AG37" s="53"/>
      <c r="AH37" s="53"/>
    </row>
    <row r="38" spans="2:34" ht="12.75" hidden="1" customHeight="1" x14ac:dyDescent="0.25">
      <c r="B38" s="50"/>
      <c r="C38" s="51"/>
      <c r="D38" s="53"/>
      <c r="E38" s="53"/>
      <c r="F38" s="52"/>
      <c r="G38" s="53"/>
      <c r="H38" s="53"/>
      <c r="I38" s="53"/>
      <c r="J38" s="54"/>
      <c r="K38" s="53"/>
      <c r="L38" s="53"/>
      <c r="M38" s="50"/>
      <c r="N38" s="51"/>
      <c r="O38" s="53"/>
      <c r="P38" s="53"/>
      <c r="Q38" s="53"/>
      <c r="R38" s="53"/>
      <c r="S38" s="52"/>
      <c r="T38" s="53"/>
      <c r="U38" s="53"/>
      <c r="V38" s="53"/>
      <c r="W38" s="54"/>
      <c r="X38" s="50"/>
      <c r="Y38" s="51"/>
      <c r="Z38" s="53"/>
      <c r="AA38" s="53"/>
      <c r="AB38" s="54"/>
      <c r="AC38" s="53"/>
      <c r="AD38" s="53"/>
      <c r="AE38" s="53"/>
      <c r="AF38" s="55"/>
      <c r="AG38" s="53"/>
      <c r="AH38" s="53"/>
    </row>
    <row r="39" spans="2:34" ht="12.75" hidden="1" customHeight="1" x14ac:dyDescent="0.25">
      <c r="B39" s="50"/>
      <c r="C39" s="51"/>
      <c r="D39" s="53"/>
      <c r="E39" s="53"/>
      <c r="F39" s="53"/>
      <c r="G39" s="54"/>
      <c r="H39" s="53"/>
      <c r="I39" s="53"/>
      <c r="J39" s="52"/>
      <c r="K39" s="53"/>
      <c r="L39" s="53"/>
      <c r="M39" s="50"/>
      <c r="N39" s="51"/>
      <c r="O39" s="53"/>
      <c r="P39" s="53"/>
      <c r="Q39" s="53"/>
      <c r="R39" s="52"/>
      <c r="S39" s="52"/>
      <c r="T39" s="53"/>
      <c r="U39" s="53"/>
      <c r="V39" s="53"/>
      <c r="W39" s="54"/>
      <c r="X39" s="50"/>
      <c r="Y39" s="51"/>
      <c r="Z39" s="52"/>
      <c r="AA39" s="53"/>
      <c r="AB39" s="55"/>
      <c r="AC39" s="53"/>
      <c r="AD39" s="53"/>
      <c r="AE39" s="53"/>
      <c r="AF39" s="55"/>
      <c r="AG39" s="54"/>
      <c r="AH39" s="53"/>
    </row>
    <row r="40" spans="2:34" ht="12.75" hidden="1" customHeight="1" x14ac:dyDescent="0.25">
      <c r="B40" s="50"/>
      <c r="C40" s="51"/>
      <c r="D40" s="53"/>
      <c r="E40" s="53"/>
      <c r="F40" s="53"/>
      <c r="G40" s="53"/>
      <c r="H40" s="54"/>
      <c r="I40" s="52"/>
      <c r="J40" s="53"/>
      <c r="K40" s="53"/>
      <c r="L40" s="53"/>
      <c r="M40" s="50"/>
      <c r="N40" s="51"/>
      <c r="O40" s="53"/>
      <c r="P40" s="53"/>
      <c r="Q40" s="52"/>
      <c r="R40" s="53"/>
      <c r="S40" s="53"/>
      <c r="T40" s="54"/>
      <c r="U40" s="53"/>
      <c r="V40" s="53"/>
      <c r="W40" s="52"/>
      <c r="X40" s="50"/>
      <c r="Y40" s="51"/>
      <c r="Z40" s="53"/>
      <c r="AA40" s="53"/>
      <c r="AB40" s="55"/>
      <c r="AC40" s="53"/>
      <c r="AD40" s="53"/>
      <c r="AE40" s="53"/>
      <c r="AF40" s="55"/>
      <c r="AG40" s="53"/>
      <c r="AH40" s="54"/>
    </row>
    <row r="41" spans="2:34" ht="12.75" hidden="1" customHeight="1" x14ac:dyDescent="0.25">
      <c r="B41" s="50"/>
      <c r="C41" s="51"/>
      <c r="D41" s="54"/>
      <c r="E41" s="53"/>
      <c r="F41" s="53"/>
      <c r="G41" s="53"/>
      <c r="H41" s="53"/>
      <c r="I41" s="52"/>
      <c r="J41" s="53"/>
      <c r="K41" s="53"/>
      <c r="L41" s="53"/>
      <c r="M41" s="50"/>
      <c r="N41" s="51"/>
      <c r="O41" s="53"/>
      <c r="P41" s="53"/>
      <c r="Q41" s="53"/>
      <c r="R41" s="53"/>
      <c r="S41" s="53"/>
      <c r="T41" s="53"/>
      <c r="U41" s="54"/>
      <c r="V41" s="53"/>
      <c r="W41" s="52"/>
      <c r="X41" s="50"/>
      <c r="Y41" s="51"/>
      <c r="Z41" s="53"/>
      <c r="AA41" s="53"/>
      <c r="AB41" s="55"/>
      <c r="AC41" s="54"/>
      <c r="AD41" s="52"/>
      <c r="AE41" s="53"/>
      <c r="AF41" s="55"/>
      <c r="AG41" s="53"/>
      <c r="AH41" s="53"/>
    </row>
    <row r="42" spans="2:34" ht="12.75" hidden="1" customHeight="1" x14ac:dyDescent="0.25">
      <c r="B42" s="50"/>
      <c r="C42" s="51"/>
      <c r="D42" s="52"/>
      <c r="E42" s="54"/>
      <c r="F42" s="52"/>
      <c r="G42" s="53"/>
      <c r="H42" s="53"/>
      <c r="I42" s="53"/>
      <c r="J42" s="53"/>
      <c r="K42" s="53"/>
      <c r="L42" s="53"/>
      <c r="M42" s="50"/>
      <c r="N42" s="51"/>
      <c r="O42" s="53"/>
      <c r="P42" s="53"/>
      <c r="Q42" s="53"/>
      <c r="R42" s="53"/>
      <c r="S42" s="54"/>
      <c r="T42" s="53"/>
      <c r="U42" s="52"/>
      <c r="V42" s="53"/>
      <c r="W42" s="52"/>
      <c r="X42" s="50"/>
      <c r="Y42" s="51"/>
      <c r="Z42" s="53"/>
      <c r="AA42" s="53"/>
      <c r="AB42" s="55"/>
      <c r="AC42" s="53"/>
      <c r="AD42" s="54"/>
      <c r="AE42" s="53"/>
      <c r="AF42" s="55"/>
      <c r="AG42" s="53"/>
      <c r="AH42" s="53"/>
    </row>
    <row r="43" spans="2:34" ht="12.75" hidden="1" customHeight="1" x14ac:dyDescent="0.25">
      <c r="B43" s="50"/>
      <c r="C43" s="51"/>
      <c r="D43" s="53"/>
      <c r="E43" s="53"/>
      <c r="F43" s="53"/>
      <c r="G43" s="53"/>
      <c r="H43" s="53"/>
      <c r="I43" s="53"/>
      <c r="J43" s="53"/>
      <c r="K43" s="54"/>
      <c r="L43" s="53"/>
      <c r="M43" s="50"/>
      <c r="N43" s="51"/>
      <c r="O43" s="53"/>
      <c r="P43" s="53"/>
      <c r="Q43" s="52"/>
      <c r="R43" s="54"/>
      <c r="S43" s="52"/>
      <c r="T43" s="53"/>
      <c r="U43" s="53"/>
      <c r="V43" s="53"/>
      <c r="W43" s="52"/>
      <c r="X43" s="50"/>
      <c r="Y43" s="51"/>
      <c r="Z43" s="53"/>
      <c r="AA43" s="53"/>
      <c r="AB43" s="55"/>
      <c r="AC43" s="52"/>
      <c r="AD43" s="53"/>
      <c r="AE43" s="54"/>
      <c r="AF43" s="55"/>
      <c r="AG43" s="53"/>
      <c r="AH43" s="53"/>
    </row>
    <row r="44" spans="2:34" ht="12.75" hidden="1" customHeight="1" x14ac:dyDescent="0.25">
      <c r="B44" s="50"/>
      <c r="C44" s="51"/>
      <c r="D44" s="53"/>
      <c r="E44" s="52"/>
      <c r="F44" s="53"/>
      <c r="G44" s="53"/>
      <c r="H44" s="53"/>
      <c r="I44" s="53"/>
      <c r="J44" s="54"/>
      <c r="K44" s="53"/>
      <c r="L44" s="53"/>
      <c r="M44" s="50"/>
      <c r="N44" s="51"/>
      <c r="O44" s="53"/>
      <c r="P44" s="53"/>
      <c r="Q44" s="54"/>
      <c r="R44" s="53"/>
      <c r="S44" s="53"/>
      <c r="T44" s="53"/>
      <c r="U44" s="53"/>
      <c r="V44" s="53"/>
      <c r="W44" s="52"/>
      <c r="X44" s="50"/>
      <c r="Y44" s="51"/>
      <c r="Z44" s="54"/>
      <c r="AA44" s="53"/>
      <c r="AB44" s="55"/>
      <c r="AC44" s="53"/>
      <c r="AD44" s="53"/>
      <c r="AE44" s="53"/>
      <c r="AF44" s="55"/>
      <c r="AG44" s="53"/>
      <c r="AH44" s="53"/>
    </row>
    <row r="45" spans="2:34" ht="12.75" hidden="1" customHeight="1" x14ac:dyDescent="0.25">
      <c r="B45" s="50"/>
      <c r="C45" s="51"/>
      <c r="D45" s="53"/>
      <c r="E45" s="52"/>
      <c r="F45" s="53"/>
      <c r="G45" s="53"/>
      <c r="H45" s="53"/>
      <c r="I45" s="53"/>
      <c r="J45" s="53"/>
      <c r="K45" s="53"/>
      <c r="L45" s="54"/>
      <c r="M45" s="50"/>
      <c r="N45" s="51"/>
      <c r="O45" s="53"/>
      <c r="P45" s="54"/>
      <c r="Q45" s="53"/>
      <c r="R45" s="53"/>
      <c r="S45" s="53"/>
      <c r="T45" s="53"/>
      <c r="U45" s="53"/>
      <c r="V45" s="53"/>
      <c r="W45" s="52"/>
      <c r="X45" s="50"/>
      <c r="Y45" s="51"/>
      <c r="Z45" s="53"/>
      <c r="AA45" s="53"/>
      <c r="AB45" s="55"/>
      <c r="AC45" s="53"/>
      <c r="AD45" s="53"/>
      <c r="AE45" s="52"/>
      <c r="AF45" s="54"/>
      <c r="AG45" s="53"/>
      <c r="AH45" s="53"/>
    </row>
    <row r="46" spans="2:34" ht="12.75" hidden="1" customHeight="1" x14ac:dyDescent="0.25">
      <c r="B46" s="50"/>
      <c r="C46" s="51"/>
      <c r="D46" s="53"/>
      <c r="E46" s="53"/>
      <c r="F46" s="54"/>
      <c r="G46" s="53"/>
      <c r="H46" s="52"/>
      <c r="I46" s="53"/>
      <c r="J46" s="53"/>
      <c r="K46" s="53"/>
      <c r="L46" s="53"/>
      <c r="M46" s="50"/>
      <c r="N46" s="51"/>
      <c r="O46" s="53"/>
      <c r="P46" s="53"/>
      <c r="Q46" s="53"/>
      <c r="R46" s="53"/>
      <c r="S46" s="53"/>
      <c r="T46" s="53"/>
      <c r="U46" s="53"/>
      <c r="V46" s="54"/>
      <c r="W46" s="52"/>
      <c r="X46" s="50"/>
      <c r="Y46" s="51"/>
      <c r="Z46" s="53"/>
      <c r="AA46" s="54"/>
      <c r="AB46" s="55"/>
      <c r="AC46" s="53"/>
      <c r="AD46" s="53"/>
      <c r="AE46" s="52"/>
      <c r="AF46" s="55"/>
      <c r="AG46" s="53"/>
      <c r="AH46" s="53"/>
    </row>
    <row r="47" spans="2:34" ht="12.75" hidden="1" customHeight="1" x14ac:dyDescent="0.25">
      <c r="B47" s="50"/>
      <c r="C47" s="51"/>
      <c r="D47" s="53"/>
      <c r="E47" s="53"/>
      <c r="F47" s="53"/>
      <c r="G47" s="53"/>
      <c r="H47" s="53"/>
      <c r="I47" s="54"/>
      <c r="J47" s="53"/>
      <c r="K47" s="52"/>
      <c r="L47" s="53"/>
      <c r="M47" s="50"/>
      <c r="N47" s="51"/>
      <c r="O47" s="54"/>
      <c r="P47" s="53"/>
      <c r="Q47" s="53"/>
      <c r="R47" s="52"/>
      <c r="S47" s="53"/>
      <c r="T47" s="53"/>
      <c r="U47" s="53"/>
      <c r="V47" s="53"/>
      <c r="W47" s="52"/>
      <c r="X47" s="50"/>
      <c r="Y47" s="51"/>
      <c r="Z47" s="53"/>
      <c r="AA47" s="53"/>
      <c r="AB47" s="54"/>
      <c r="AC47" s="52"/>
      <c r="AD47" s="53"/>
      <c r="AE47" s="53"/>
      <c r="AF47" s="55"/>
      <c r="AG47" s="53"/>
      <c r="AH47" s="53"/>
    </row>
    <row r="48" spans="2:34" ht="12.75" hidden="1" customHeight="1" x14ac:dyDescent="0.25">
      <c r="B48" s="50"/>
      <c r="C48" s="51"/>
      <c r="D48" s="52"/>
      <c r="E48" s="54"/>
      <c r="F48" s="53"/>
      <c r="G48" s="53"/>
      <c r="H48" s="53"/>
      <c r="I48" s="53"/>
      <c r="J48" s="53"/>
      <c r="K48" s="53"/>
      <c r="L48" s="53"/>
      <c r="M48" s="50"/>
      <c r="N48" s="51"/>
      <c r="O48" s="52"/>
      <c r="P48" s="53"/>
      <c r="Q48" s="53"/>
      <c r="R48" s="53"/>
      <c r="S48" s="53"/>
      <c r="T48" s="54"/>
      <c r="U48" s="53"/>
      <c r="V48" s="53"/>
      <c r="W48" s="52"/>
      <c r="X48" s="50"/>
      <c r="Y48" s="51"/>
      <c r="Z48" s="53"/>
      <c r="AA48" s="53"/>
      <c r="AB48" s="54"/>
      <c r="AC48" s="53"/>
      <c r="AD48" s="53"/>
      <c r="AE48" s="53"/>
      <c r="AF48" s="55"/>
      <c r="AG48" s="53"/>
      <c r="AH48" s="53"/>
    </row>
    <row r="49" spans="2:35" ht="12.75" hidden="1" customHeight="1" x14ac:dyDescent="0.25">
      <c r="B49" s="50"/>
      <c r="C49" s="51"/>
      <c r="D49" s="53"/>
      <c r="E49" s="53"/>
      <c r="F49" s="53"/>
      <c r="G49" s="53"/>
      <c r="H49" s="54"/>
      <c r="I49" s="53"/>
      <c r="J49" s="53"/>
      <c r="K49" s="53"/>
      <c r="L49" s="52"/>
      <c r="M49" s="50"/>
      <c r="N49" s="51"/>
      <c r="O49" s="53"/>
      <c r="P49" s="53"/>
      <c r="Q49" s="52"/>
      <c r="R49" s="54"/>
      <c r="S49" s="53"/>
      <c r="T49" s="53"/>
      <c r="U49" s="53"/>
      <c r="V49" s="53"/>
      <c r="W49" s="52"/>
      <c r="X49" s="50"/>
      <c r="Y49" s="51"/>
      <c r="Z49" s="54"/>
      <c r="AA49" s="53"/>
      <c r="AB49" s="55"/>
      <c r="AC49" s="53"/>
      <c r="AD49" s="53"/>
      <c r="AE49" s="53"/>
      <c r="AF49" s="55"/>
      <c r="AG49" s="53"/>
      <c r="AH49" s="53"/>
    </row>
    <row r="50" spans="2:35" ht="12.75" hidden="1" customHeight="1" x14ac:dyDescent="0.25">
      <c r="B50" s="50"/>
      <c r="C50" s="51"/>
      <c r="D50" s="53"/>
      <c r="E50" s="53"/>
      <c r="F50" s="53"/>
      <c r="G50" s="53"/>
      <c r="H50" s="53"/>
      <c r="I50" s="53"/>
      <c r="J50" s="53"/>
      <c r="K50" s="52"/>
      <c r="L50" s="54"/>
      <c r="M50" s="50"/>
      <c r="N50" s="51"/>
      <c r="O50" s="53"/>
      <c r="P50" s="53"/>
      <c r="Q50" s="53"/>
      <c r="R50" s="53"/>
      <c r="S50" s="52"/>
      <c r="T50" s="53"/>
      <c r="U50" s="53"/>
      <c r="V50" s="53"/>
      <c r="W50" s="54"/>
      <c r="X50" s="50"/>
      <c r="Y50" s="51"/>
      <c r="Z50" s="53"/>
      <c r="AA50" s="53"/>
      <c r="AB50" s="55"/>
      <c r="AC50" s="53"/>
      <c r="AD50" s="53"/>
      <c r="AE50" s="53"/>
      <c r="AF50" s="55"/>
      <c r="AG50" s="54"/>
      <c r="AH50" s="53"/>
    </row>
    <row r="51" spans="2:35" ht="12.75" hidden="1" customHeight="1" x14ac:dyDescent="0.25">
      <c r="B51" s="50"/>
      <c r="C51" s="51"/>
      <c r="D51" s="53"/>
      <c r="E51" s="53"/>
      <c r="F51" s="53"/>
      <c r="G51" s="53"/>
      <c r="H51" s="53"/>
      <c r="I51" s="53"/>
      <c r="J51" s="53"/>
      <c r="K51" s="54"/>
      <c r="L51" s="52"/>
      <c r="M51" s="50"/>
      <c r="N51" s="51"/>
      <c r="O51" s="53"/>
      <c r="P51" s="53"/>
      <c r="Q51" s="53"/>
      <c r="R51" s="53"/>
      <c r="S51" s="53"/>
      <c r="T51" s="53"/>
      <c r="U51" s="54"/>
      <c r="V51" s="53"/>
      <c r="W51" s="52"/>
      <c r="X51" s="50"/>
      <c r="Y51" s="51"/>
      <c r="Z51" s="53"/>
      <c r="AA51" s="53"/>
      <c r="AB51" s="55"/>
      <c r="AC51" s="53"/>
      <c r="AD51" s="54"/>
      <c r="AE51" s="53"/>
      <c r="AF51" s="55"/>
      <c r="AG51" s="53"/>
      <c r="AH51" s="53"/>
    </row>
    <row r="52" spans="2:35" ht="12.75" hidden="1" customHeight="1" x14ac:dyDescent="0.25">
      <c r="B52" s="50"/>
      <c r="C52" s="51"/>
      <c r="D52" s="53"/>
      <c r="E52" s="53"/>
      <c r="F52" s="54"/>
      <c r="G52" s="53"/>
      <c r="H52" s="53"/>
      <c r="I52" s="53"/>
      <c r="J52" s="53"/>
      <c r="K52" s="53"/>
      <c r="L52" s="53"/>
      <c r="M52" s="50"/>
      <c r="N52" s="51"/>
      <c r="O52" s="53"/>
      <c r="P52" s="54"/>
      <c r="Q52" s="52"/>
      <c r="R52" s="53"/>
      <c r="S52" s="53"/>
      <c r="T52" s="53"/>
      <c r="U52" s="53"/>
      <c r="V52" s="53"/>
      <c r="W52" s="52"/>
      <c r="X52" s="50"/>
      <c r="Y52" s="51"/>
      <c r="Z52" s="53"/>
      <c r="AA52" s="53"/>
      <c r="AB52" s="55"/>
      <c r="AC52" s="53"/>
      <c r="AD52" s="53"/>
      <c r="AE52" s="53"/>
      <c r="AF52" s="55"/>
      <c r="AG52" s="53"/>
      <c r="AH52" s="54"/>
    </row>
    <row r="53" spans="2:35" ht="12.75" hidden="1" customHeight="1" x14ac:dyDescent="0.25">
      <c r="B53" s="50"/>
      <c r="C53" s="51"/>
      <c r="D53" s="53"/>
      <c r="E53" s="53"/>
      <c r="F53" s="53"/>
      <c r="G53" s="54"/>
      <c r="H53" s="53"/>
      <c r="I53" s="53"/>
      <c r="J53" s="52"/>
      <c r="K53" s="53"/>
      <c r="L53" s="53"/>
      <c r="M53" s="50"/>
      <c r="N53" s="51"/>
      <c r="O53" s="53"/>
      <c r="P53" s="53"/>
      <c r="Q53" s="52"/>
      <c r="R53" s="53"/>
      <c r="S53" s="54"/>
      <c r="T53" s="53"/>
      <c r="U53" s="52"/>
      <c r="V53" s="53"/>
      <c r="W53" s="52"/>
      <c r="X53" s="50"/>
      <c r="Y53" s="51"/>
      <c r="Z53" s="53"/>
      <c r="AA53" s="53"/>
      <c r="AB53" s="55"/>
      <c r="AC53" s="53"/>
      <c r="AD53" s="53"/>
      <c r="AE53" s="54"/>
      <c r="AF53" s="55"/>
      <c r="AG53" s="53"/>
      <c r="AH53" s="53"/>
    </row>
    <row r="54" spans="2:35" ht="12.75" hidden="1" customHeight="1" x14ac:dyDescent="0.25">
      <c r="B54" s="50"/>
      <c r="C54" s="51"/>
      <c r="D54" s="52"/>
      <c r="E54" s="53"/>
      <c r="F54" s="53"/>
      <c r="G54" s="53"/>
      <c r="H54" s="53"/>
      <c r="I54" s="53"/>
      <c r="J54" s="54"/>
      <c r="K54" s="53"/>
      <c r="L54" s="53"/>
      <c r="M54" s="50"/>
      <c r="N54" s="51"/>
      <c r="O54" s="53"/>
      <c r="P54" s="52"/>
      <c r="Q54" s="54"/>
      <c r="R54" s="53"/>
      <c r="S54" s="53"/>
      <c r="T54" s="53"/>
      <c r="U54" s="53"/>
      <c r="V54" s="53"/>
      <c r="W54" s="52"/>
      <c r="X54" s="50"/>
      <c r="Y54" s="51"/>
      <c r="Z54" s="52"/>
      <c r="AA54" s="53"/>
      <c r="AB54" s="55"/>
      <c r="AC54" s="54"/>
      <c r="AD54" s="53"/>
      <c r="AE54" s="53"/>
      <c r="AF54" s="55"/>
      <c r="AG54" s="53"/>
      <c r="AH54" s="53"/>
    </row>
    <row r="55" spans="2:35" ht="12.75" hidden="1" customHeight="1" x14ac:dyDescent="0.25">
      <c r="B55" s="50"/>
      <c r="C55" s="51"/>
      <c r="D55" s="54"/>
      <c r="E55" s="53"/>
      <c r="F55" s="53"/>
      <c r="G55" s="52"/>
      <c r="H55" s="53"/>
      <c r="I55" s="53"/>
      <c r="J55" s="53"/>
      <c r="K55" s="53"/>
      <c r="L55" s="53"/>
      <c r="M55" s="50"/>
      <c r="N55" s="51"/>
      <c r="O55" s="54"/>
      <c r="P55" s="53"/>
      <c r="Q55" s="53"/>
      <c r="R55" s="52"/>
      <c r="S55" s="52"/>
      <c r="T55" s="53"/>
      <c r="U55" s="53"/>
      <c r="V55" s="53"/>
      <c r="W55" s="52"/>
      <c r="X55" s="50"/>
      <c r="Y55" s="51"/>
      <c r="Z55" s="53"/>
      <c r="AA55" s="53"/>
      <c r="AB55" s="55"/>
      <c r="AC55" s="52"/>
      <c r="AD55" s="53"/>
      <c r="AE55" s="52"/>
      <c r="AF55" s="54"/>
      <c r="AG55" s="53"/>
      <c r="AH55" s="53"/>
    </row>
    <row r="56" spans="2:35" ht="12.75" hidden="1" customHeight="1" x14ac:dyDescent="0.25">
      <c r="B56" s="50"/>
      <c r="C56" s="51"/>
      <c r="D56" s="53"/>
      <c r="E56" s="53"/>
      <c r="F56" s="53"/>
      <c r="G56" s="53"/>
      <c r="H56" s="53"/>
      <c r="I56" s="54"/>
      <c r="J56" s="53"/>
      <c r="K56" s="53"/>
      <c r="L56" s="53"/>
      <c r="M56" s="50"/>
      <c r="N56" s="51"/>
      <c r="O56" s="53"/>
      <c r="P56" s="53"/>
      <c r="Q56" s="53"/>
      <c r="R56" s="53"/>
      <c r="S56" s="53"/>
      <c r="T56" s="53"/>
      <c r="U56" s="53"/>
      <c r="V56" s="54"/>
      <c r="W56" s="52"/>
      <c r="X56" s="50"/>
      <c r="Y56" s="51"/>
      <c r="Z56" s="53"/>
      <c r="AA56" s="54"/>
      <c r="AB56" s="56"/>
      <c r="AC56" s="53"/>
      <c r="AD56" s="53"/>
      <c r="AE56" s="53"/>
      <c r="AF56" s="55"/>
      <c r="AG56" s="53"/>
      <c r="AH56" s="53"/>
    </row>
    <row r="57" spans="2:35" ht="12.75" hidden="1" customHeight="1" x14ac:dyDescent="0.25">
      <c r="B57" s="50"/>
      <c r="C57" s="51"/>
      <c r="D57" s="52"/>
      <c r="E57" s="54"/>
      <c r="F57" s="53"/>
      <c r="G57" s="53"/>
      <c r="H57" s="52"/>
      <c r="I57" s="53"/>
      <c r="J57" s="53"/>
      <c r="K57" s="53"/>
      <c r="L57" s="53"/>
      <c r="M57" s="50"/>
      <c r="N57" s="51"/>
      <c r="O57" s="52"/>
      <c r="P57" s="53"/>
      <c r="Q57" s="54"/>
      <c r="R57" s="53"/>
      <c r="S57" s="53"/>
      <c r="T57" s="53"/>
      <c r="U57" s="53"/>
      <c r="V57" s="53"/>
      <c r="W57" s="52"/>
      <c r="X57" s="50"/>
      <c r="Y57" s="51"/>
      <c r="Z57" s="53"/>
      <c r="AA57" s="53"/>
      <c r="AB57" s="55"/>
      <c r="AC57" s="53"/>
      <c r="AD57" s="53"/>
      <c r="AE57" s="52"/>
      <c r="AF57" s="55"/>
      <c r="AG57" s="54"/>
      <c r="AH57" s="53"/>
    </row>
    <row r="58" spans="2:35" ht="12.75" hidden="1" customHeight="1" x14ac:dyDescent="0.25">
      <c r="B58" s="50"/>
      <c r="C58" s="51"/>
      <c r="D58" s="53"/>
      <c r="E58" s="53"/>
      <c r="F58" s="53"/>
      <c r="G58" s="53"/>
      <c r="H58" s="53"/>
      <c r="I58" s="53"/>
      <c r="J58" s="54"/>
      <c r="K58" s="53"/>
      <c r="L58" s="52"/>
      <c r="M58" s="50"/>
      <c r="N58" s="51"/>
      <c r="O58" s="53"/>
      <c r="P58" s="53"/>
      <c r="Q58" s="53"/>
      <c r="R58" s="53"/>
      <c r="S58" s="53"/>
      <c r="T58" s="54"/>
      <c r="U58" s="53"/>
      <c r="V58" s="52"/>
      <c r="W58" s="52"/>
      <c r="X58" s="50"/>
      <c r="Y58" s="51"/>
      <c r="Z58" s="53"/>
      <c r="AA58" s="53"/>
      <c r="AB58" s="55"/>
      <c r="AC58" s="53"/>
      <c r="AD58" s="54"/>
      <c r="AE58" s="53"/>
      <c r="AF58" s="55"/>
      <c r="AG58" s="53"/>
      <c r="AH58" s="53"/>
    </row>
    <row r="59" spans="2:35" ht="12.75" hidden="1" customHeight="1" x14ac:dyDescent="0.25">
      <c r="B59" s="50"/>
      <c r="C59" s="51"/>
      <c r="D59" s="53"/>
      <c r="E59" s="53"/>
      <c r="F59" s="54"/>
      <c r="G59" s="53"/>
      <c r="H59" s="53"/>
      <c r="I59" s="53"/>
      <c r="J59" s="53"/>
      <c r="K59" s="53"/>
      <c r="L59" s="53"/>
      <c r="M59" s="50"/>
      <c r="N59" s="51"/>
      <c r="O59" s="53"/>
      <c r="P59" s="54"/>
      <c r="Q59" s="53"/>
      <c r="R59" s="53"/>
      <c r="S59" s="53"/>
      <c r="T59" s="53"/>
      <c r="U59" s="53"/>
      <c r="V59" s="53"/>
      <c r="W59" s="52"/>
      <c r="X59" s="50"/>
      <c r="Y59" s="51"/>
      <c r="Z59" s="54"/>
      <c r="AA59" s="53"/>
      <c r="AB59" s="55"/>
      <c r="AC59" s="53"/>
      <c r="AD59" s="53"/>
      <c r="AE59" s="53"/>
      <c r="AF59" s="55"/>
      <c r="AG59" s="53"/>
      <c r="AH59" s="53"/>
    </row>
    <row r="60" spans="2:35" ht="12.75" hidden="1" customHeight="1" x14ac:dyDescent="0.25">
      <c r="B60" s="50"/>
      <c r="C60" s="51"/>
      <c r="D60" s="53"/>
      <c r="E60" s="53"/>
      <c r="F60" s="53"/>
      <c r="G60" s="52"/>
      <c r="H60" s="54"/>
      <c r="I60" s="53"/>
      <c r="J60" s="53"/>
      <c r="K60" s="53"/>
      <c r="L60" s="53"/>
      <c r="M60" s="50"/>
      <c r="N60" s="51"/>
      <c r="O60" s="53"/>
      <c r="P60" s="53"/>
      <c r="Q60" s="53"/>
      <c r="R60" s="53"/>
      <c r="S60" s="54"/>
      <c r="T60" s="53"/>
      <c r="U60" s="52"/>
      <c r="V60" s="53"/>
      <c r="W60" s="52"/>
      <c r="X60" s="50"/>
      <c r="Y60" s="51"/>
      <c r="Z60" s="53"/>
      <c r="AA60" s="53"/>
      <c r="AB60" s="54"/>
      <c r="AC60" s="53"/>
      <c r="AD60" s="52"/>
      <c r="AE60" s="53"/>
      <c r="AF60" s="55"/>
      <c r="AG60" s="53"/>
      <c r="AH60" s="53"/>
    </row>
    <row r="61" spans="2:35" ht="12.75" hidden="1" customHeight="1" x14ac:dyDescent="0.25">
      <c r="B61" s="50"/>
      <c r="C61" s="51"/>
      <c r="D61" s="53"/>
      <c r="E61" s="53"/>
      <c r="F61" s="53"/>
      <c r="G61" s="54"/>
      <c r="H61" s="53"/>
      <c r="I61" s="53"/>
      <c r="J61" s="52"/>
      <c r="K61" s="53"/>
      <c r="L61" s="53"/>
      <c r="M61" s="50"/>
      <c r="N61" s="51"/>
      <c r="O61" s="53"/>
      <c r="P61" s="53"/>
      <c r="Q61" s="52"/>
      <c r="R61" s="54"/>
      <c r="S61" s="53"/>
      <c r="T61" s="53"/>
      <c r="U61" s="53"/>
      <c r="V61" s="53"/>
      <c r="W61" s="52"/>
      <c r="X61" s="50"/>
      <c r="Y61" s="51"/>
      <c r="Z61" s="53"/>
      <c r="AA61" s="53"/>
      <c r="AB61" s="55"/>
      <c r="AC61" s="53"/>
      <c r="AD61" s="53"/>
      <c r="AE61" s="53"/>
      <c r="AF61" s="55"/>
      <c r="AG61" s="53"/>
      <c r="AH61" s="54"/>
    </row>
    <row r="62" spans="2:35" ht="12.75" hidden="1" customHeight="1" x14ac:dyDescent="0.25">
      <c r="B62" s="50"/>
      <c r="C62" s="51"/>
      <c r="D62" s="53"/>
      <c r="E62" s="52"/>
      <c r="F62" s="53"/>
      <c r="G62" s="53"/>
      <c r="H62" s="53"/>
      <c r="I62" s="54"/>
      <c r="J62" s="53"/>
      <c r="K62" s="53"/>
      <c r="L62" s="53"/>
      <c r="M62" s="50"/>
      <c r="N62" s="51"/>
      <c r="O62" s="54"/>
      <c r="P62" s="53"/>
      <c r="Q62" s="53"/>
      <c r="R62" s="52"/>
      <c r="S62" s="53"/>
      <c r="T62" s="53"/>
      <c r="U62" s="53"/>
      <c r="V62" s="53"/>
      <c r="W62" s="52"/>
      <c r="X62" s="50"/>
      <c r="Y62" s="51"/>
      <c r="Z62" s="53"/>
      <c r="AA62" s="54"/>
      <c r="AB62" s="55"/>
      <c r="AC62" s="53"/>
      <c r="AD62" s="53"/>
      <c r="AE62" s="52"/>
      <c r="AF62" s="55"/>
      <c r="AG62" s="53"/>
      <c r="AH62" s="53"/>
      <c r="AI62" s="57"/>
    </row>
    <row r="63" spans="2:35" ht="12.75" hidden="1" customHeight="1" x14ac:dyDescent="0.25">
      <c r="B63" s="50"/>
      <c r="C63" s="51"/>
      <c r="D63" s="53"/>
      <c r="E63" s="52"/>
      <c r="F63" s="53"/>
      <c r="G63" s="53"/>
      <c r="H63" s="53"/>
      <c r="I63" s="53"/>
      <c r="J63" s="53"/>
      <c r="K63" s="54"/>
      <c r="L63" s="53"/>
      <c r="M63" s="50"/>
      <c r="N63" s="51"/>
      <c r="O63" s="53"/>
      <c r="P63" s="53"/>
      <c r="Q63" s="53"/>
      <c r="R63" s="53"/>
      <c r="S63" s="53"/>
      <c r="T63" s="52"/>
      <c r="U63" s="54"/>
      <c r="V63" s="53"/>
      <c r="W63" s="52"/>
      <c r="X63" s="50"/>
      <c r="Y63" s="51"/>
      <c r="Z63" s="53"/>
      <c r="AA63" s="53"/>
      <c r="AB63" s="55"/>
      <c r="AC63" s="53"/>
      <c r="AD63" s="53"/>
      <c r="AE63" s="54"/>
      <c r="AF63" s="55"/>
      <c r="AG63" s="53"/>
      <c r="AH63" s="53"/>
      <c r="AI63" s="57"/>
    </row>
    <row r="64" spans="2:35" ht="12.75" hidden="1" customHeight="1" x14ac:dyDescent="0.25">
      <c r="B64" s="50"/>
      <c r="C64" s="51"/>
      <c r="D64" s="54"/>
      <c r="E64" s="53"/>
      <c r="F64" s="52"/>
      <c r="G64" s="53"/>
      <c r="H64" s="53"/>
      <c r="I64" s="53"/>
      <c r="J64" s="53"/>
      <c r="K64" s="53"/>
      <c r="L64" s="53"/>
      <c r="M64" s="50"/>
      <c r="N64" s="51"/>
      <c r="O64" s="53"/>
      <c r="P64" s="53"/>
      <c r="Q64" s="53"/>
      <c r="R64" s="53"/>
      <c r="S64" s="53"/>
      <c r="T64" s="53"/>
      <c r="U64" s="53"/>
      <c r="V64" s="53"/>
      <c r="W64" s="54"/>
      <c r="X64" s="50"/>
      <c r="Y64" s="51"/>
      <c r="Z64" s="53"/>
      <c r="AA64" s="53"/>
      <c r="AB64" s="55"/>
      <c r="AC64" s="53"/>
      <c r="AD64" s="53"/>
      <c r="AE64" s="53"/>
      <c r="AF64" s="54"/>
      <c r="AG64" s="53"/>
      <c r="AH64" s="53"/>
      <c r="AI64" s="58"/>
    </row>
    <row r="65" spans="2:35" ht="12.75" hidden="1" customHeight="1" x14ac:dyDescent="0.25">
      <c r="B65" s="50"/>
      <c r="C65" s="51"/>
      <c r="D65" s="53"/>
      <c r="E65" s="53"/>
      <c r="F65" s="53"/>
      <c r="G65" s="53"/>
      <c r="H65" s="53"/>
      <c r="I65" s="53"/>
      <c r="J65" s="52"/>
      <c r="K65" s="53"/>
      <c r="L65" s="54"/>
      <c r="M65" s="50"/>
      <c r="N65" s="51"/>
      <c r="O65" s="53"/>
      <c r="P65" s="53"/>
      <c r="Q65" s="53"/>
      <c r="R65" s="53"/>
      <c r="S65" s="53"/>
      <c r="T65" s="52"/>
      <c r="U65" s="53"/>
      <c r="V65" s="54"/>
      <c r="W65" s="52"/>
      <c r="X65" s="50"/>
      <c r="Y65" s="51"/>
      <c r="Z65" s="53"/>
      <c r="AA65" s="53"/>
      <c r="AB65" s="55"/>
      <c r="AC65" s="54"/>
      <c r="AD65" s="52"/>
      <c r="AE65" s="52"/>
      <c r="AF65" s="55"/>
      <c r="AG65" s="53"/>
      <c r="AH65" s="53"/>
      <c r="AI65" s="57"/>
    </row>
    <row r="66" spans="2:35" ht="12.75" hidden="1" customHeight="1" x14ac:dyDescent="0.25">
      <c r="B66" s="50"/>
      <c r="C66" s="51"/>
      <c r="D66" s="52"/>
      <c r="E66" s="54"/>
      <c r="F66" s="53"/>
      <c r="G66" s="53"/>
      <c r="H66" s="53"/>
      <c r="I66" s="53"/>
      <c r="J66" s="53"/>
      <c r="K66" s="52"/>
      <c r="L66" s="53"/>
      <c r="M66" s="50"/>
      <c r="N66" s="51"/>
      <c r="O66" s="53"/>
      <c r="P66" s="53"/>
      <c r="Q66" s="53"/>
      <c r="R66" s="53"/>
      <c r="S66" s="52"/>
      <c r="T66" s="54"/>
      <c r="U66" s="53"/>
      <c r="V66" s="53"/>
      <c r="W66" s="52"/>
      <c r="X66" s="50"/>
      <c r="Y66" s="51"/>
      <c r="Z66" s="53"/>
      <c r="AA66" s="53"/>
      <c r="AB66" s="55"/>
      <c r="AC66" s="53"/>
      <c r="AD66" s="53"/>
      <c r="AE66" s="52"/>
      <c r="AF66" s="55"/>
      <c r="AG66" s="54"/>
      <c r="AH66" s="53"/>
      <c r="AI66" s="57"/>
    </row>
    <row r="67" spans="2:35" ht="12.75" hidden="1" customHeight="1" x14ac:dyDescent="0.25">
      <c r="B67" s="50"/>
      <c r="C67" s="51"/>
      <c r="D67" s="53"/>
      <c r="E67" s="53"/>
      <c r="F67" s="52"/>
      <c r="G67" s="54"/>
      <c r="H67" s="53"/>
      <c r="I67" s="53"/>
      <c r="J67" s="53"/>
      <c r="K67" s="53"/>
      <c r="L67" s="53"/>
      <c r="M67" s="50"/>
      <c r="N67" s="51"/>
      <c r="O67" s="53"/>
      <c r="P67" s="53"/>
      <c r="Q67" s="53"/>
      <c r="R67" s="53"/>
      <c r="S67" s="54"/>
      <c r="T67" s="53"/>
      <c r="U67" s="52"/>
      <c r="V67" s="53"/>
      <c r="W67" s="52"/>
      <c r="X67" s="50"/>
      <c r="Y67" s="51"/>
      <c r="Z67" s="53"/>
      <c r="AA67" s="53"/>
      <c r="AB67" s="54"/>
      <c r="AC67" s="53"/>
      <c r="AD67" s="53"/>
      <c r="AE67" s="53"/>
      <c r="AF67" s="55"/>
      <c r="AG67" s="53"/>
      <c r="AH67" s="53"/>
      <c r="AI67" s="57"/>
    </row>
    <row r="68" spans="2:35" ht="12.75" hidden="1" customHeight="1" x14ac:dyDescent="0.25">
      <c r="B68" s="50"/>
      <c r="C68" s="51"/>
      <c r="D68" s="53"/>
      <c r="E68" s="53"/>
      <c r="F68" s="53"/>
      <c r="G68" s="53"/>
      <c r="H68" s="53"/>
      <c r="I68" s="54"/>
      <c r="J68" s="53"/>
      <c r="K68" s="53"/>
      <c r="L68" s="52"/>
      <c r="M68" s="50"/>
      <c r="N68" s="51"/>
      <c r="O68" s="53"/>
      <c r="P68" s="53"/>
      <c r="Q68" s="53"/>
      <c r="R68" s="53"/>
      <c r="S68" s="53"/>
      <c r="T68" s="53"/>
      <c r="U68" s="53"/>
      <c r="V68" s="53"/>
      <c r="W68" s="54"/>
      <c r="X68" s="50"/>
      <c r="Y68" s="51"/>
      <c r="Z68" s="53"/>
      <c r="AA68" s="53"/>
      <c r="AB68" s="55"/>
      <c r="AC68" s="52"/>
      <c r="AD68" s="54"/>
      <c r="AE68" s="53"/>
      <c r="AF68" s="55"/>
      <c r="AG68" s="53"/>
      <c r="AH68" s="53"/>
      <c r="AI68" s="57"/>
    </row>
    <row r="69" spans="2:35" ht="12.75" hidden="1" customHeight="1" x14ac:dyDescent="0.25">
      <c r="B69" s="50"/>
      <c r="C69" s="51"/>
      <c r="D69" s="53"/>
      <c r="E69" s="53"/>
      <c r="F69" s="53"/>
      <c r="G69" s="53"/>
      <c r="H69" s="54"/>
      <c r="I69" s="53"/>
      <c r="J69" s="53"/>
      <c r="K69" s="53"/>
      <c r="L69" s="52"/>
      <c r="M69" s="50"/>
      <c r="N69" s="51"/>
      <c r="O69" s="53"/>
      <c r="P69" s="53"/>
      <c r="Q69" s="53"/>
      <c r="R69" s="53"/>
      <c r="S69" s="53"/>
      <c r="T69" s="53"/>
      <c r="U69" s="54"/>
      <c r="V69" s="52"/>
      <c r="W69" s="52"/>
      <c r="X69" s="50"/>
      <c r="Y69" s="51"/>
      <c r="Z69" s="52"/>
      <c r="AA69" s="53"/>
      <c r="AB69" s="55"/>
      <c r="AC69" s="53"/>
      <c r="AD69" s="53"/>
      <c r="AE69" s="53"/>
      <c r="AF69" s="54"/>
      <c r="AG69" s="53"/>
      <c r="AH69" s="53"/>
      <c r="AI69" s="45"/>
    </row>
    <row r="70" spans="2:35" ht="12.75" hidden="1" customHeight="1" x14ac:dyDescent="0.25">
      <c r="B70" s="50"/>
      <c r="C70" s="51"/>
      <c r="D70" s="52"/>
      <c r="E70" s="53"/>
      <c r="F70" s="53"/>
      <c r="G70" s="53"/>
      <c r="H70" s="53"/>
      <c r="I70" s="53"/>
      <c r="J70" s="53"/>
      <c r="K70" s="53"/>
      <c r="L70" s="54"/>
      <c r="M70" s="50"/>
      <c r="N70" s="51"/>
      <c r="O70" s="52"/>
      <c r="P70" s="53"/>
      <c r="Q70" s="53"/>
      <c r="R70" s="54"/>
      <c r="S70" s="53"/>
      <c r="T70" s="53"/>
      <c r="U70" s="53"/>
      <c r="V70" s="53"/>
      <c r="W70" s="52"/>
      <c r="X70" s="50"/>
      <c r="Y70" s="51"/>
      <c r="Z70" s="53"/>
      <c r="AA70" s="53"/>
      <c r="AB70" s="55"/>
      <c r="AC70" s="53"/>
      <c r="AD70" s="53"/>
      <c r="AE70" s="52"/>
      <c r="AF70" s="55"/>
      <c r="AG70" s="53"/>
      <c r="AH70" s="54"/>
      <c r="AI70" s="58"/>
    </row>
    <row r="71" spans="2:35" ht="12.75" hidden="1" customHeight="1" x14ac:dyDescent="0.25">
      <c r="B71" s="50"/>
      <c r="C71" s="51"/>
      <c r="D71" s="53"/>
      <c r="E71" s="53"/>
      <c r="F71" s="54"/>
      <c r="G71" s="53"/>
      <c r="H71" s="53"/>
      <c r="I71" s="53"/>
      <c r="J71" s="52"/>
      <c r="K71" s="53"/>
      <c r="L71" s="53"/>
      <c r="M71" s="50"/>
      <c r="N71" s="51"/>
      <c r="O71" s="54"/>
      <c r="P71" s="52"/>
      <c r="Q71" s="53"/>
      <c r="R71" s="53"/>
      <c r="S71" s="53"/>
      <c r="T71" s="53"/>
      <c r="U71" s="53"/>
      <c r="V71" s="53"/>
      <c r="W71" s="52"/>
      <c r="X71" s="50"/>
      <c r="Y71" s="51"/>
      <c r="Z71" s="53"/>
      <c r="AA71" s="53"/>
      <c r="AB71" s="55"/>
      <c r="AC71" s="54"/>
      <c r="AD71" s="52"/>
      <c r="AE71" s="53"/>
      <c r="AF71" s="55"/>
      <c r="AG71" s="53"/>
      <c r="AH71" s="53"/>
      <c r="AI71" s="59"/>
    </row>
    <row r="72" spans="2:35" ht="12.75" hidden="1" customHeight="1" x14ac:dyDescent="0.25">
      <c r="B72" s="50"/>
      <c r="C72" s="51"/>
      <c r="D72" s="54"/>
      <c r="E72" s="53"/>
      <c r="F72" s="53"/>
      <c r="G72" s="53"/>
      <c r="H72" s="53"/>
      <c r="I72" s="53"/>
      <c r="J72" s="52"/>
      <c r="K72" s="53"/>
      <c r="L72" s="53"/>
      <c r="M72" s="50"/>
      <c r="N72" s="51"/>
      <c r="O72" s="53"/>
      <c r="P72" s="52"/>
      <c r="Q72" s="54"/>
      <c r="R72" s="53"/>
      <c r="S72" s="53"/>
      <c r="T72" s="53"/>
      <c r="U72" s="53"/>
      <c r="V72" s="53"/>
      <c r="W72" s="52"/>
      <c r="X72" s="50"/>
      <c r="Y72" s="51"/>
      <c r="Z72" s="54"/>
      <c r="AA72" s="53"/>
      <c r="AB72" s="55"/>
      <c r="AC72" s="53"/>
      <c r="AD72" s="53"/>
      <c r="AE72" s="53"/>
      <c r="AF72" s="55"/>
      <c r="AG72" s="53"/>
      <c r="AH72" s="53"/>
      <c r="AI72" s="59"/>
    </row>
    <row r="73" spans="2:35" ht="12.75" hidden="1" customHeight="1" x14ac:dyDescent="0.25">
      <c r="B73" s="50"/>
      <c r="C73" s="51"/>
      <c r="D73" s="53"/>
      <c r="E73" s="53"/>
      <c r="F73" s="53"/>
      <c r="G73" s="52"/>
      <c r="H73" s="53"/>
      <c r="I73" s="53"/>
      <c r="J73" s="54"/>
      <c r="K73" s="53"/>
      <c r="L73" s="53"/>
      <c r="M73" s="50"/>
      <c r="N73" s="51"/>
      <c r="O73" s="53"/>
      <c r="P73" s="54"/>
      <c r="Q73" s="53"/>
      <c r="R73" s="53"/>
      <c r="S73" s="53"/>
      <c r="T73" s="53"/>
      <c r="U73" s="53"/>
      <c r="V73" s="53"/>
      <c r="W73" s="52"/>
      <c r="X73" s="50"/>
      <c r="Y73" s="51"/>
      <c r="Z73" s="53"/>
      <c r="AA73" s="53"/>
      <c r="AB73" s="55"/>
      <c r="AC73" s="53"/>
      <c r="AD73" s="52"/>
      <c r="AE73" s="54"/>
      <c r="AF73" s="55"/>
      <c r="AG73" s="53"/>
      <c r="AH73" s="53"/>
      <c r="AI73" s="59"/>
    </row>
    <row r="74" spans="2:35" ht="12.75" hidden="1" customHeight="1" x14ac:dyDescent="0.25">
      <c r="B74" s="50"/>
      <c r="C74" s="51"/>
      <c r="D74" s="53"/>
      <c r="E74" s="53"/>
      <c r="F74" s="53"/>
      <c r="G74" s="52"/>
      <c r="H74" s="53"/>
      <c r="I74" s="53"/>
      <c r="J74" s="53"/>
      <c r="K74" s="54"/>
      <c r="L74" s="53"/>
      <c r="M74" s="50"/>
      <c r="N74" s="51"/>
      <c r="O74" s="53"/>
      <c r="P74" s="53"/>
      <c r="Q74" s="53"/>
      <c r="R74" s="52"/>
      <c r="S74" s="53"/>
      <c r="T74" s="53"/>
      <c r="U74" s="53"/>
      <c r="V74" s="54"/>
      <c r="W74" s="52"/>
      <c r="X74" s="50"/>
      <c r="Y74" s="51"/>
      <c r="Z74" s="53"/>
      <c r="AA74" s="54"/>
      <c r="AB74" s="56"/>
      <c r="AC74" s="53"/>
      <c r="AD74" s="53"/>
      <c r="AE74" s="53"/>
      <c r="AF74" s="55"/>
      <c r="AG74" s="53"/>
      <c r="AH74" s="53"/>
      <c r="AI74" s="18"/>
    </row>
    <row r="75" spans="2:35" ht="12.75" hidden="1" customHeight="1" x14ac:dyDescent="0.25">
      <c r="B75" s="50"/>
      <c r="C75" s="51"/>
      <c r="D75" s="54"/>
      <c r="E75" s="53"/>
      <c r="F75" s="53"/>
      <c r="G75" s="53"/>
      <c r="H75" s="53"/>
      <c r="I75" s="53"/>
      <c r="J75" s="53"/>
      <c r="K75" s="53"/>
      <c r="L75" s="52"/>
      <c r="M75" s="50"/>
      <c r="N75" s="51"/>
      <c r="O75" s="53"/>
      <c r="P75" s="52"/>
      <c r="Q75" s="53"/>
      <c r="R75" s="53"/>
      <c r="S75" s="53"/>
      <c r="T75" s="53"/>
      <c r="U75" s="54"/>
      <c r="V75" s="52"/>
      <c r="W75" s="52"/>
      <c r="X75" s="478"/>
      <c r="Y75" s="388"/>
      <c r="Z75" s="60"/>
      <c r="AA75" s="60"/>
      <c r="AB75" s="60"/>
      <c r="AC75" s="60"/>
      <c r="AD75" s="60"/>
      <c r="AE75" s="60"/>
      <c r="AF75" s="60"/>
      <c r="AG75" s="60"/>
      <c r="AH75" s="60"/>
      <c r="AI75" s="57"/>
    </row>
    <row r="76" spans="2:35" ht="12.75" hidden="1" customHeight="1" x14ac:dyDescent="0.25">
      <c r="B76" s="50"/>
      <c r="C76" s="51"/>
      <c r="D76" s="53"/>
      <c r="E76" s="53"/>
      <c r="F76" s="54"/>
      <c r="G76" s="53"/>
      <c r="H76" s="53"/>
      <c r="I76" s="52"/>
      <c r="J76" s="53"/>
      <c r="K76" s="53"/>
      <c r="L76" s="53"/>
      <c r="M76" s="50"/>
      <c r="N76" s="51"/>
      <c r="O76" s="53"/>
      <c r="P76" s="53"/>
      <c r="Q76" s="53"/>
      <c r="R76" s="52"/>
      <c r="S76" s="53"/>
      <c r="T76" s="54"/>
      <c r="U76" s="53"/>
      <c r="V76" s="53"/>
      <c r="W76" s="52"/>
      <c r="X76" s="61"/>
      <c r="Y76" s="18"/>
      <c r="Z76" s="57"/>
      <c r="AA76" s="57"/>
      <c r="AB76" s="45"/>
      <c r="AC76" s="57"/>
      <c r="AD76" s="57"/>
      <c r="AE76" s="18"/>
      <c r="AF76" s="57"/>
      <c r="AG76" s="45"/>
      <c r="AH76" s="57"/>
      <c r="AI76" s="57"/>
    </row>
    <row r="77" spans="2:35" ht="12.75" hidden="1" customHeight="1" x14ac:dyDescent="0.3">
      <c r="B77" s="50"/>
      <c r="C77" s="51"/>
      <c r="D77" s="53"/>
      <c r="E77" s="53"/>
      <c r="F77" s="53"/>
      <c r="G77" s="52"/>
      <c r="H77" s="53"/>
      <c r="I77" s="54"/>
      <c r="J77" s="53"/>
      <c r="K77" s="53"/>
      <c r="L77" s="53"/>
      <c r="M77" s="50"/>
      <c r="N77" s="51"/>
      <c r="O77" s="52"/>
      <c r="P77" s="53"/>
      <c r="Q77" s="53"/>
      <c r="R77" s="54"/>
      <c r="S77" s="53"/>
      <c r="T77" s="53"/>
      <c r="U77" s="53"/>
      <c r="V77" s="53"/>
      <c r="W77" s="52"/>
      <c r="X77" s="61"/>
      <c r="Y77" s="18"/>
      <c r="Z77" s="473"/>
      <c r="AA77" s="361"/>
      <c r="AB77" s="361"/>
      <c r="AC77" s="361"/>
      <c r="AD77" s="361"/>
      <c r="AE77" s="361"/>
      <c r="AF77" s="361"/>
      <c r="AG77" s="361"/>
      <c r="AH77" s="388"/>
      <c r="AI77" s="57"/>
    </row>
    <row r="78" spans="2:35" ht="12.75" hidden="1" customHeight="1" x14ac:dyDescent="0.25">
      <c r="B78" s="50"/>
      <c r="C78" s="51"/>
      <c r="D78" s="52"/>
      <c r="E78" s="53"/>
      <c r="F78" s="53"/>
      <c r="G78" s="53"/>
      <c r="H78" s="53"/>
      <c r="I78" s="53"/>
      <c r="J78" s="52"/>
      <c r="K78" s="53"/>
      <c r="L78" s="54"/>
      <c r="M78" s="50"/>
      <c r="N78" s="51"/>
      <c r="O78" s="53"/>
      <c r="P78" s="53"/>
      <c r="Q78" s="53"/>
      <c r="R78" s="53"/>
      <c r="S78" s="53"/>
      <c r="T78" s="53"/>
      <c r="U78" s="52"/>
      <c r="V78" s="53"/>
      <c r="W78" s="54"/>
      <c r="X78" s="61"/>
      <c r="Y78" s="18"/>
      <c r="Z78" s="46"/>
      <c r="AA78" s="46"/>
      <c r="AB78" s="46"/>
      <c r="AC78" s="62"/>
      <c r="AD78" s="63"/>
      <c r="AE78" s="46"/>
      <c r="AF78" s="46"/>
      <c r="AG78" s="46"/>
      <c r="AH78" s="46"/>
      <c r="AI78" s="57"/>
    </row>
    <row r="79" spans="2:35" ht="12.75" hidden="1" customHeight="1" x14ac:dyDescent="0.25">
      <c r="B79" s="50"/>
      <c r="C79" s="51"/>
      <c r="D79" s="53"/>
      <c r="E79" s="53"/>
      <c r="F79" s="52"/>
      <c r="G79" s="54"/>
      <c r="H79" s="53"/>
      <c r="I79" s="53"/>
      <c r="J79" s="53"/>
      <c r="K79" s="53"/>
      <c r="L79" s="53"/>
      <c r="M79" s="50"/>
      <c r="N79" s="51"/>
      <c r="O79" s="53"/>
      <c r="P79" s="53"/>
      <c r="Q79" s="53"/>
      <c r="R79" s="53"/>
      <c r="S79" s="52"/>
      <c r="T79" s="53"/>
      <c r="U79" s="53"/>
      <c r="V79" s="54"/>
      <c r="W79" s="52"/>
      <c r="X79" s="479"/>
      <c r="Y79" s="388"/>
      <c r="Z79" s="53"/>
      <c r="AA79" s="53"/>
      <c r="AB79" s="53"/>
      <c r="AC79" s="53"/>
      <c r="AD79" s="53"/>
      <c r="AE79" s="53"/>
      <c r="AF79" s="53"/>
      <c r="AG79" s="53"/>
      <c r="AH79" s="53"/>
      <c r="AI79" s="64" t="s">
        <v>420</v>
      </c>
    </row>
    <row r="80" spans="2:35" ht="12.75" hidden="1" customHeight="1" x14ac:dyDescent="0.25">
      <c r="B80" s="50"/>
      <c r="C80" s="51"/>
      <c r="D80" s="53"/>
      <c r="E80" s="53"/>
      <c r="F80" s="53"/>
      <c r="G80" s="52"/>
      <c r="H80" s="52"/>
      <c r="I80" s="53"/>
      <c r="J80" s="54"/>
      <c r="K80" s="53"/>
      <c r="L80" s="53"/>
      <c r="M80" s="50"/>
      <c r="N80" s="51"/>
      <c r="O80" s="53"/>
      <c r="P80" s="53"/>
      <c r="Q80" s="52"/>
      <c r="R80" s="53"/>
      <c r="S80" s="54"/>
      <c r="T80" s="53"/>
      <c r="U80" s="53"/>
      <c r="V80" s="53"/>
      <c r="W80" s="52"/>
      <c r="X80" s="479"/>
      <c r="Y80" s="388"/>
      <c r="Z80" s="53"/>
      <c r="AA80" s="53"/>
      <c r="AB80" s="53"/>
      <c r="AC80" s="53"/>
      <c r="AD80" s="53"/>
      <c r="AE80" s="53"/>
      <c r="AF80" s="53"/>
      <c r="AG80" s="53"/>
      <c r="AH80" s="53"/>
      <c r="AI80" s="65" t="s">
        <v>421</v>
      </c>
    </row>
    <row r="81" spans="2:38" ht="12.75" hidden="1" customHeight="1" x14ac:dyDescent="0.25">
      <c r="B81" s="50"/>
      <c r="C81" s="51"/>
      <c r="D81" s="53"/>
      <c r="E81" s="53"/>
      <c r="F81" s="53"/>
      <c r="G81" s="52"/>
      <c r="H81" s="54"/>
      <c r="I81" s="53"/>
      <c r="J81" s="53"/>
      <c r="K81" s="53"/>
      <c r="L81" s="53"/>
      <c r="M81" s="50"/>
      <c r="N81" s="51"/>
      <c r="O81" s="53"/>
      <c r="P81" s="52"/>
      <c r="Q81" s="54"/>
      <c r="R81" s="53"/>
      <c r="S81" s="53"/>
      <c r="T81" s="53"/>
      <c r="U81" s="53"/>
      <c r="V81" s="53"/>
      <c r="W81" s="52"/>
      <c r="X81" s="479"/>
      <c r="Y81" s="388"/>
      <c r="Z81" s="53"/>
      <c r="AA81" s="53"/>
      <c r="AB81" s="53"/>
      <c r="AC81" s="53"/>
      <c r="AD81" s="53"/>
      <c r="AE81" s="53"/>
      <c r="AF81" s="53"/>
      <c r="AG81" s="53"/>
      <c r="AH81" s="53"/>
      <c r="AI81" s="65" t="s">
        <v>422</v>
      </c>
    </row>
    <row r="82" spans="2:38" ht="12.75" hidden="1" customHeight="1" x14ac:dyDescent="0.3">
      <c r="B82" s="50"/>
      <c r="C82" s="51"/>
      <c r="D82" s="53"/>
      <c r="E82" s="52"/>
      <c r="F82" s="53"/>
      <c r="G82" s="53"/>
      <c r="H82" s="53"/>
      <c r="I82" s="53"/>
      <c r="J82" s="53"/>
      <c r="K82" s="54"/>
      <c r="L82" s="53"/>
      <c r="M82" s="50"/>
      <c r="N82" s="51"/>
      <c r="O82" s="53"/>
      <c r="P82" s="54"/>
      <c r="Q82" s="53"/>
      <c r="R82" s="53"/>
      <c r="S82" s="53"/>
      <c r="T82" s="53"/>
      <c r="U82" s="53"/>
      <c r="V82" s="53"/>
      <c r="W82" s="52"/>
      <c r="X82" s="479" t="s">
        <v>423</v>
      </c>
      <c r="Y82" s="388"/>
      <c r="Z82" s="66">
        <f t="shared" ref="Z82:AH82" si="1">+G108</f>
        <v>0</v>
      </c>
      <c r="AA82" s="66">
        <f t="shared" si="1"/>
        <v>0</v>
      </c>
      <c r="AB82" s="66">
        <f t="shared" si="1"/>
        <v>0</v>
      </c>
      <c r="AC82" s="66">
        <f t="shared" si="1"/>
        <v>0</v>
      </c>
      <c r="AD82" s="66">
        <f t="shared" si="1"/>
        <v>0</v>
      </c>
      <c r="AE82" s="66">
        <f t="shared" si="1"/>
        <v>0</v>
      </c>
      <c r="AF82" s="66">
        <f t="shared" si="1"/>
        <v>0</v>
      </c>
      <c r="AG82" s="66">
        <f t="shared" si="1"/>
        <v>0</v>
      </c>
      <c r="AH82" s="66">
        <f t="shared" si="1"/>
        <v>0</v>
      </c>
      <c r="AI82" s="67">
        <f>SUM(Z82:AH82)</f>
        <v>0</v>
      </c>
    </row>
    <row r="83" spans="2:38" ht="12.75" hidden="1" customHeight="1" x14ac:dyDescent="0.25">
      <c r="B83" s="50"/>
      <c r="C83" s="51"/>
      <c r="D83" s="52"/>
      <c r="E83" s="54"/>
      <c r="F83" s="53"/>
      <c r="G83" s="52"/>
      <c r="H83" s="53"/>
      <c r="I83" s="53"/>
      <c r="J83" s="53"/>
      <c r="K83" s="53"/>
      <c r="L83" s="53"/>
      <c r="M83" s="50"/>
      <c r="N83" s="51"/>
      <c r="O83" s="54"/>
      <c r="P83" s="52"/>
      <c r="Q83" s="53"/>
      <c r="R83" s="53"/>
      <c r="S83" s="53"/>
      <c r="T83" s="53"/>
      <c r="U83" s="53"/>
      <c r="V83" s="53"/>
      <c r="W83" s="52"/>
      <c r="X83" s="61"/>
      <c r="Y83" s="18"/>
      <c r="Z83" s="57"/>
      <c r="AA83" s="57"/>
      <c r="AB83" s="68"/>
      <c r="AC83" s="57"/>
      <c r="AD83" s="57"/>
      <c r="AE83" s="57"/>
      <c r="AF83" s="57"/>
      <c r="AG83" s="45"/>
      <c r="AH83" s="57"/>
      <c r="AI83" s="57"/>
    </row>
    <row r="84" spans="2:38" ht="12.75" hidden="1" customHeight="1" x14ac:dyDescent="0.25">
      <c r="B84" s="50"/>
      <c r="C84" s="51"/>
      <c r="D84" s="53"/>
      <c r="E84" s="53"/>
      <c r="F84" s="53"/>
      <c r="G84" s="53"/>
      <c r="H84" s="54"/>
      <c r="I84" s="53"/>
      <c r="J84" s="53"/>
      <c r="K84" s="52"/>
      <c r="L84" s="53"/>
      <c r="M84" s="50"/>
      <c r="N84" s="51"/>
      <c r="O84" s="53"/>
      <c r="P84" s="53"/>
      <c r="Q84" s="53"/>
      <c r="R84" s="53"/>
      <c r="S84" s="52"/>
      <c r="T84" s="53"/>
      <c r="U84" s="53"/>
      <c r="V84" s="54"/>
      <c r="W84" s="52"/>
      <c r="X84" s="480"/>
      <c r="Y84" s="446"/>
      <c r="Z84" s="481" t="s">
        <v>424</v>
      </c>
      <c r="AA84" s="449"/>
      <c r="AB84" s="449"/>
      <c r="AC84" s="449"/>
      <c r="AD84" s="449"/>
      <c r="AE84" s="449"/>
      <c r="AF84" s="391"/>
      <c r="AG84" s="483">
        <f>IF(H176&lt;=13,2,3)</f>
        <v>2</v>
      </c>
      <c r="AH84" s="58"/>
      <c r="AI84" s="57"/>
    </row>
    <row r="85" spans="2:38" ht="12.75" hidden="1" customHeight="1" x14ac:dyDescent="0.25">
      <c r="B85" s="50"/>
      <c r="C85" s="51"/>
      <c r="D85" s="53"/>
      <c r="E85" s="53"/>
      <c r="F85" s="53"/>
      <c r="G85" s="52"/>
      <c r="H85" s="53"/>
      <c r="I85" s="54"/>
      <c r="J85" s="53"/>
      <c r="K85" s="53"/>
      <c r="L85" s="53"/>
      <c r="M85" s="50"/>
      <c r="N85" s="51"/>
      <c r="O85" s="53"/>
      <c r="P85" s="52"/>
      <c r="Q85" s="53"/>
      <c r="R85" s="53"/>
      <c r="S85" s="53"/>
      <c r="T85" s="53"/>
      <c r="U85" s="53"/>
      <c r="V85" s="53"/>
      <c r="W85" s="54"/>
      <c r="X85" s="70"/>
      <c r="Y85" s="71"/>
      <c r="Z85" s="482"/>
      <c r="AA85" s="446"/>
      <c r="AB85" s="446"/>
      <c r="AC85" s="446"/>
      <c r="AD85" s="446"/>
      <c r="AE85" s="446"/>
      <c r="AF85" s="393"/>
      <c r="AG85" s="484"/>
      <c r="AH85" s="59"/>
      <c r="AI85" s="57"/>
    </row>
    <row r="86" spans="2:38" ht="12.75" hidden="1" customHeight="1" x14ac:dyDescent="0.25">
      <c r="B86" s="50"/>
      <c r="C86" s="51"/>
      <c r="D86" s="53"/>
      <c r="E86" s="53"/>
      <c r="F86" s="54"/>
      <c r="G86" s="52"/>
      <c r="H86" s="53"/>
      <c r="I86" s="53"/>
      <c r="J86" s="53"/>
      <c r="K86" s="53"/>
      <c r="L86" s="53"/>
      <c r="M86" s="50"/>
      <c r="N86" s="51"/>
      <c r="O86" s="53"/>
      <c r="P86" s="54"/>
      <c r="Q86" s="53"/>
      <c r="R86" s="53"/>
      <c r="S86" s="53"/>
      <c r="T86" s="53"/>
      <c r="U86" s="52"/>
      <c r="V86" s="53"/>
      <c r="W86" s="52"/>
      <c r="X86" s="70"/>
      <c r="Y86" s="71"/>
      <c r="Z86" s="482"/>
      <c r="AA86" s="446"/>
      <c r="AB86" s="446"/>
      <c r="AC86" s="446"/>
      <c r="AD86" s="446"/>
      <c r="AE86" s="446"/>
      <c r="AF86" s="393"/>
      <c r="AG86" s="484"/>
      <c r="AH86" s="59"/>
      <c r="AI86" s="57"/>
    </row>
    <row r="87" spans="2:38" ht="12.75" hidden="1" customHeight="1" x14ac:dyDescent="0.25">
      <c r="B87" s="50"/>
      <c r="C87" s="51"/>
      <c r="D87" s="54"/>
      <c r="E87" s="52"/>
      <c r="F87" s="53"/>
      <c r="G87" s="53"/>
      <c r="H87" s="53"/>
      <c r="I87" s="53"/>
      <c r="J87" s="53"/>
      <c r="K87" s="53"/>
      <c r="L87" s="53"/>
      <c r="M87" s="50"/>
      <c r="N87" s="51"/>
      <c r="O87" s="53"/>
      <c r="P87" s="53"/>
      <c r="Q87" s="54"/>
      <c r="R87" s="53"/>
      <c r="S87" s="53"/>
      <c r="T87" s="53"/>
      <c r="U87" s="53"/>
      <c r="V87" s="53"/>
      <c r="W87" s="52"/>
      <c r="X87" s="70"/>
      <c r="Y87" s="71"/>
      <c r="Z87" s="450"/>
      <c r="AA87" s="451"/>
      <c r="AB87" s="451"/>
      <c r="AC87" s="451"/>
      <c r="AD87" s="451"/>
      <c r="AE87" s="451"/>
      <c r="AF87" s="452"/>
      <c r="AG87" s="476"/>
      <c r="AH87" s="59"/>
      <c r="AI87" s="57"/>
    </row>
    <row r="88" spans="2:38" ht="12.75" hidden="1" customHeight="1" x14ac:dyDescent="0.25">
      <c r="B88" s="50"/>
      <c r="C88" s="51"/>
      <c r="D88" s="53"/>
      <c r="E88" s="53"/>
      <c r="F88" s="53"/>
      <c r="G88" s="54"/>
      <c r="H88" s="53"/>
      <c r="I88" s="53"/>
      <c r="J88" s="53"/>
      <c r="K88" s="53"/>
      <c r="L88" s="53"/>
      <c r="M88" s="50"/>
      <c r="N88" s="51"/>
      <c r="O88" s="54"/>
      <c r="P88" s="52"/>
      <c r="Q88" s="53"/>
      <c r="R88" s="53"/>
      <c r="S88" s="53"/>
      <c r="T88" s="53"/>
      <c r="U88" s="53"/>
      <c r="V88" s="53"/>
      <c r="W88" s="52"/>
      <c r="X88" s="71"/>
      <c r="Y88" s="71"/>
      <c r="AB88" s="68"/>
      <c r="AD88" s="18"/>
      <c r="AG88" s="45"/>
      <c r="AH88" s="57"/>
      <c r="AI88" s="57"/>
      <c r="AJ88" s="18"/>
    </row>
    <row r="89" spans="2:38" ht="12.75" hidden="1" customHeight="1" x14ac:dyDescent="0.25">
      <c r="B89" s="50"/>
      <c r="C89" s="51"/>
      <c r="D89" s="52"/>
      <c r="E89" s="54"/>
      <c r="F89" s="53"/>
      <c r="G89" s="53"/>
      <c r="H89" s="53"/>
      <c r="I89" s="53"/>
      <c r="J89" s="53"/>
      <c r="K89" s="52"/>
      <c r="L89" s="53"/>
      <c r="M89" s="50"/>
      <c r="N89" s="51"/>
      <c r="O89" s="53"/>
      <c r="P89" s="53"/>
      <c r="Q89" s="53"/>
      <c r="R89" s="53"/>
      <c r="S89" s="54"/>
      <c r="T89" s="53"/>
      <c r="U89" s="53"/>
      <c r="V89" s="53"/>
      <c r="W89" s="52"/>
      <c r="X89" s="71"/>
      <c r="AB89" s="68"/>
      <c r="AD89" s="18"/>
      <c r="AG89" s="45"/>
      <c r="AH89" s="57"/>
      <c r="AI89" s="72"/>
      <c r="AJ89" s="72"/>
    </row>
    <row r="90" spans="2:38" ht="12.75" hidden="1" customHeight="1" x14ac:dyDescent="0.25">
      <c r="B90" s="50"/>
      <c r="C90" s="51"/>
      <c r="D90" s="52"/>
      <c r="E90" s="53"/>
      <c r="F90" s="53"/>
      <c r="G90" s="53"/>
      <c r="H90" s="53"/>
      <c r="I90" s="53"/>
      <c r="J90" s="53"/>
      <c r="K90" s="53"/>
      <c r="L90" s="54"/>
      <c r="M90" s="50"/>
      <c r="N90" s="51"/>
      <c r="O90" s="53"/>
      <c r="P90" s="53"/>
      <c r="Q90" s="53"/>
      <c r="R90" s="54"/>
      <c r="S90" s="53"/>
      <c r="T90" s="53"/>
      <c r="U90" s="53"/>
      <c r="V90" s="52"/>
      <c r="W90" s="52"/>
      <c r="X90" s="73">
        <f>+B183</f>
        <v>0</v>
      </c>
      <c r="Y90" s="17">
        <f t="shared" ref="Y90:Y98" si="2">+IF(X90&lt;0, 1,)</f>
        <v>0</v>
      </c>
      <c r="Z90" s="57">
        <v>1</v>
      </c>
      <c r="AA90" s="18" t="s">
        <v>425</v>
      </c>
      <c r="AB90" s="68"/>
      <c r="AD90" s="18"/>
      <c r="AG90" s="45"/>
      <c r="AH90" s="57"/>
      <c r="AI90" s="57"/>
      <c r="AJ90" s="71"/>
    </row>
    <row r="91" spans="2:38" ht="12.75" hidden="1" customHeight="1" x14ac:dyDescent="0.25">
      <c r="B91" s="50"/>
      <c r="C91" s="51"/>
      <c r="D91" s="53"/>
      <c r="E91" s="53"/>
      <c r="F91" s="53"/>
      <c r="G91" s="52"/>
      <c r="H91" s="53"/>
      <c r="I91" s="53"/>
      <c r="J91" s="54"/>
      <c r="K91" s="53"/>
      <c r="L91" s="53"/>
      <c r="M91" s="50"/>
      <c r="N91" s="51"/>
      <c r="O91" s="53"/>
      <c r="P91" s="53"/>
      <c r="Q91" s="53"/>
      <c r="R91" s="53"/>
      <c r="S91" s="53"/>
      <c r="T91" s="53"/>
      <c r="U91" s="54"/>
      <c r="V91" s="52"/>
      <c r="W91" s="52"/>
      <c r="X91" s="73">
        <f>+C183</f>
        <v>0</v>
      </c>
      <c r="Y91" s="17">
        <f t="shared" si="2"/>
        <v>0</v>
      </c>
      <c r="Z91" s="57">
        <v>2</v>
      </c>
      <c r="AA91" s="18" t="s">
        <v>426</v>
      </c>
      <c r="AB91" s="68"/>
      <c r="AD91" s="18"/>
      <c r="AG91" s="45"/>
      <c r="AH91" s="57"/>
      <c r="AI91" s="57"/>
      <c r="AJ91" s="71"/>
      <c r="AK91" s="70"/>
      <c r="AL91" s="71"/>
    </row>
    <row r="92" spans="2:38" ht="12.75" hidden="1" customHeight="1" x14ac:dyDescent="0.25">
      <c r="B92" s="50"/>
      <c r="C92" s="51"/>
      <c r="D92" s="53"/>
      <c r="E92" s="53"/>
      <c r="F92" s="53"/>
      <c r="G92" s="53"/>
      <c r="H92" s="53"/>
      <c r="I92" s="52"/>
      <c r="J92" s="53"/>
      <c r="K92" s="54"/>
      <c r="L92" s="53"/>
      <c r="M92" s="50"/>
      <c r="N92" s="51"/>
      <c r="O92" s="53"/>
      <c r="P92" s="53"/>
      <c r="Q92" s="53"/>
      <c r="R92" s="52"/>
      <c r="S92" s="53"/>
      <c r="T92" s="54"/>
      <c r="U92" s="53"/>
      <c r="V92" s="53"/>
      <c r="W92" s="53"/>
      <c r="X92" s="73">
        <f>+D183</f>
        <v>0</v>
      </c>
      <c r="Y92" s="17">
        <f t="shared" si="2"/>
        <v>0</v>
      </c>
      <c r="Z92" s="57">
        <v>3</v>
      </c>
      <c r="AA92" s="18" t="s">
        <v>427</v>
      </c>
      <c r="AB92" s="68"/>
      <c r="AD92" s="18"/>
      <c r="AG92" s="45"/>
      <c r="AH92" s="57"/>
      <c r="AI92" s="57"/>
      <c r="AJ92" s="71"/>
      <c r="AK92" s="70"/>
      <c r="AL92" s="71"/>
    </row>
    <row r="93" spans="2:38" ht="12.75" hidden="1" customHeight="1" x14ac:dyDescent="0.25">
      <c r="B93" s="50"/>
      <c r="C93" s="51"/>
      <c r="D93" s="53"/>
      <c r="E93" s="53"/>
      <c r="F93" s="53"/>
      <c r="G93" s="53"/>
      <c r="H93" s="54"/>
      <c r="I93" s="52"/>
      <c r="J93" s="53"/>
      <c r="K93" s="53"/>
      <c r="L93" s="53"/>
      <c r="M93" s="50"/>
      <c r="N93" s="51"/>
      <c r="O93" s="53"/>
      <c r="P93" s="53"/>
      <c r="Q93" s="53"/>
      <c r="R93" s="52"/>
      <c r="S93" s="54"/>
      <c r="T93" s="53"/>
      <c r="U93" s="53"/>
      <c r="V93" s="53"/>
      <c r="W93" s="53"/>
      <c r="X93" s="73">
        <f>+E183</f>
        <v>0</v>
      </c>
      <c r="Y93" s="17">
        <f t="shared" si="2"/>
        <v>0</v>
      </c>
      <c r="Z93" s="57">
        <v>4</v>
      </c>
      <c r="AA93" s="18" t="s">
        <v>428</v>
      </c>
      <c r="AB93" s="68"/>
      <c r="AI93" s="57"/>
      <c r="AJ93" s="68"/>
      <c r="AK93" s="70"/>
      <c r="AL93" s="71"/>
    </row>
    <row r="94" spans="2:38" ht="12.75" hidden="1" customHeight="1" x14ac:dyDescent="0.25">
      <c r="B94" s="50"/>
      <c r="C94" s="51"/>
      <c r="D94" s="53"/>
      <c r="E94" s="53"/>
      <c r="F94" s="53"/>
      <c r="G94" s="53"/>
      <c r="H94" s="53"/>
      <c r="I94" s="52"/>
      <c r="J94" s="54"/>
      <c r="K94" s="53"/>
      <c r="L94" s="53"/>
      <c r="M94" s="50"/>
      <c r="N94" s="51"/>
      <c r="O94" s="53"/>
      <c r="P94" s="53"/>
      <c r="Q94" s="53"/>
      <c r="R94" s="52"/>
      <c r="S94" s="53"/>
      <c r="T94" s="54"/>
      <c r="U94" s="53"/>
      <c r="V94" s="53"/>
      <c r="W94" s="53"/>
      <c r="X94" s="73">
        <f>+F183</f>
        <v>0</v>
      </c>
      <c r="Y94" s="17">
        <f t="shared" si="2"/>
        <v>0</v>
      </c>
      <c r="Z94" s="57">
        <v>5</v>
      </c>
      <c r="AA94" s="18" t="s">
        <v>429</v>
      </c>
      <c r="AD94" s="57"/>
      <c r="AE94" s="57"/>
      <c r="AF94" s="45"/>
      <c r="AG94" s="57"/>
      <c r="AH94" s="57"/>
      <c r="AI94" s="57"/>
      <c r="AJ94" s="68"/>
      <c r="AK94" s="70"/>
      <c r="AL94" s="71"/>
    </row>
    <row r="95" spans="2:38" ht="12.75" hidden="1" customHeight="1" x14ac:dyDescent="0.25">
      <c r="B95" s="50"/>
      <c r="C95" s="51"/>
      <c r="D95" s="53"/>
      <c r="E95" s="53"/>
      <c r="F95" s="53"/>
      <c r="G95" s="53"/>
      <c r="H95" s="53"/>
      <c r="I95" s="52"/>
      <c r="J95" s="53"/>
      <c r="K95" s="53"/>
      <c r="L95" s="54"/>
      <c r="M95" s="50"/>
      <c r="N95" s="51"/>
      <c r="O95" s="53"/>
      <c r="P95" s="54"/>
      <c r="Q95" s="53"/>
      <c r="R95" s="52"/>
      <c r="S95" s="53"/>
      <c r="T95" s="53"/>
      <c r="U95" s="53"/>
      <c r="V95" s="53"/>
      <c r="W95" s="53"/>
      <c r="X95" s="73">
        <f>+G183</f>
        <v>0</v>
      </c>
      <c r="Y95" s="17">
        <f t="shared" si="2"/>
        <v>0</v>
      </c>
      <c r="Z95" s="57">
        <v>6</v>
      </c>
      <c r="AA95" s="74" t="s">
        <v>430</v>
      </c>
      <c r="AD95" s="57"/>
      <c r="AE95" s="57"/>
      <c r="AF95" s="45"/>
      <c r="AG95" s="57"/>
      <c r="AH95" s="57"/>
      <c r="AI95" s="57"/>
      <c r="AJ95" s="68"/>
      <c r="AK95" s="70"/>
      <c r="AL95" s="71"/>
    </row>
    <row r="96" spans="2:38" ht="12.75" hidden="1" customHeight="1" x14ac:dyDescent="0.25">
      <c r="B96" s="50"/>
      <c r="C96" s="51"/>
      <c r="D96" s="53"/>
      <c r="E96" s="53"/>
      <c r="F96" s="53"/>
      <c r="G96" s="53"/>
      <c r="H96" s="53"/>
      <c r="I96" s="54"/>
      <c r="J96" s="53"/>
      <c r="K96" s="53"/>
      <c r="L96" s="53"/>
      <c r="M96" s="50"/>
      <c r="N96" s="51"/>
      <c r="O96" s="53"/>
      <c r="P96" s="53"/>
      <c r="Q96" s="53"/>
      <c r="R96" s="52"/>
      <c r="S96" s="53"/>
      <c r="T96" s="53"/>
      <c r="U96" s="54"/>
      <c r="V96" s="53"/>
      <c r="W96" s="53"/>
      <c r="X96" s="73">
        <f>+H183</f>
        <v>0</v>
      </c>
      <c r="Y96" s="17">
        <f t="shared" si="2"/>
        <v>0</v>
      </c>
      <c r="Z96" s="57">
        <v>7</v>
      </c>
      <c r="AA96" s="74" t="s">
        <v>431</v>
      </c>
      <c r="AD96" s="57"/>
      <c r="AE96" s="57"/>
      <c r="AF96" s="45"/>
      <c r="AG96" s="57"/>
      <c r="AH96" s="57"/>
      <c r="AI96" s="57"/>
      <c r="AJ96" s="68"/>
      <c r="AK96" s="75"/>
      <c r="AL96" s="71"/>
    </row>
    <row r="97" spans="2:38" ht="12.75" hidden="1" customHeight="1" x14ac:dyDescent="0.25">
      <c r="B97" s="50"/>
      <c r="C97" s="51"/>
      <c r="D97" s="53"/>
      <c r="E97" s="53"/>
      <c r="F97" s="53"/>
      <c r="G97" s="53"/>
      <c r="H97" s="53"/>
      <c r="I97" s="52"/>
      <c r="J97" s="53"/>
      <c r="K97" s="54"/>
      <c r="L97" s="53"/>
      <c r="M97" s="50"/>
      <c r="N97" s="51"/>
      <c r="O97" s="53"/>
      <c r="P97" s="53"/>
      <c r="Q97" s="54"/>
      <c r="R97" s="52"/>
      <c r="S97" s="53"/>
      <c r="T97" s="53"/>
      <c r="U97" s="53"/>
      <c r="V97" s="53"/>
      <c r="W97" s="53"/>
      <c r="X97" s="73">
        <f>+I183</f>
        <v>0</v>
      </c>
      <c r="Y97" s="17">
        <f t="shared" si="2"/>
        <v>0</v>
      </c>
      <c r="Z97" s="57">
        <v>8</v>
      </c>
      <c r="AA97" s="74" t="s">
        <v>432</v>
      </c>
      <c r="AD97" s="57"/>
      <c r="AE97" s="57"/>
      <c r="AF97" s="45"/>
      <c r="AG97" s="57"/>
      <c r="AH97" s="57"/>
      <c r="AI97" s="57"/>
      <c r="AJ97" s="68"/>
      <c r="AK97" s="75"/>
      <c r="AL97" s="71"/>
    </row>
    <row r="98" spans="2:38" ht="12.75" hidden="1" customHeight="1" x14ac:dyDescent="0.25">
      <c r="B98" s="50"/>
      <c r="C98" s="51"/>
      <c r="D98" s="53"/>
      <c r="E98" s="53"/>
      <c r="F98" s="54"/>
      <c r="G98" s="53"/>
      <c r="H98" s="53"/>
      <c r="I98" s="52"/>
      <c r="J98" s="53"/>
      <c r="K98" s="53"/>
      <c r="L98" s="53"/>
      <c r="M98" s="50"/>
      <c r="N98" s="51"/>
      <c r="O98" s="53"/>
      <c r="P98" s="53"/>
      <c r="Q98" s="53"/>
      <c r="R98" s="52"/>
      <c r="S98" s="53"/>
      <c r="T98" s="53"/>
      <c r="U98" s="53"/>
      <c r="V98" s="53"/>
      <c r="W98" s="54"/>
      <c r="X98" s="73">
        <f>+J183</f>
        <v>0</v>
      </c>
      <c r="Y98" s="17">
        <f t="shared" si="2"/>
        <v>0</v>
      </c>
      <c r="Z98" s="57">
        <v>9</v>
      </c>
      <c r="AA98" s="74" t="s">
        <v>433</v>
      </c>
      <c r="AC98" s="57"/>
      <c r="AD98" s="57"/>
      <c r="AE98" s="57"/>
      <c r="AF98" s="45"/>
      <c r="AG98" s="57"/>
      <c r="AH98" s="57"/>
      <c r="AI98" s="57"/>
    </row>
    <row r="99" spans="2:38" ht="12.75" hidden="1" customHeight="1" x14ac:dyDescent="0.25">
      <c r="B99" s="50"/>
      <c r="C99" s="51"/>
      <c r="D99" s="54"/>
      <c r="E99" s="53"/>
      <c r="F99" s="53"/>
      <c r="G99" s="53"/>
      <c r="H99" s="53"/>
      <c r="I99" s="52"/>
      <c r="J99" s="53"/>
      <c r="K99" s="53"/>
      <c r="L99" s="53"/>
      <c r="M99" s="50"/>
      <c r="N99" s="51"/>
      <c r="O99" s="53"/>
      <c r="P99" s="53"/>
      <c r="Q99" s="53"/>
      <c r="R99" s="54"/>
      <c r="S99" s="53"/>
      <c r="T99" s="53"/>
      <c r="U99" s="53"/>
      <c r="V99" s="53"/>
      <c r="W99" s="53"/>
      <c r="X99" s="76"/>
      <c r="Y99" s="76"/>
      <c r="Z99" s="57"/>
      <c r="AA99" s="57"/>
      <c r="AB99" s="45"/>
      <c r="AC99" s="57"/>
      <c r="AD99" s="57"/>
      <c r="AE99" s="57"/>
      <c r="AF99" s="45"/>
      <c r="AG99" s="57"/>
      <c r="AH99" s="57"/>
      <c r="AI99" s="57"/>
    </row>
    <row r="100" spans="2:38" ht="12.75" hidden="1" customHeight="1" x14ac:dyDescent="0.25">
      <c r="B100" s="50"/>
      <c r="C100" s="51"/>
      <c r="D100" s="52"/>
      <c r="E100" s="54"/>
      <c r="F100" s="53"/>
      <c r="G100" s="53"/>
      <c r="H100" s="53"/>
      <c r="I100" s="52"/>
      <c r="J100" s="53"/>
      <c r="K100" s="53"/>
      <c r="L100" s="53"/>
      <c r="M100" s="50"/>
      <c r="N100" s="51"/>
      <c r="O100" s="54"/>
      <c r="P100" s="53"/>
      <c r="Q100" s="53"/>
      <c r="R100" s="52"/>
      <c r="S100" s="53"/>
      <c r="T100" s="53"/>
      <c r="U100" s="53"/>
      <c r="V100" s="53"/>
      <c r="W100" s="53"/>
      <c r="X100" s="76"/>
      <c r="Y100" s="76"/>
      <c r="Z100" s="57"/>
      <c r="AA100" s="57"/>
      <c r="AB100" s="45"/>
      <c r="AC100" s="57"/>
      <c r="AD100" s="57"/>
      <c r="AE100" s="57"/>
      <c r="AF100" s="45"/>
      <c r="AG100" s="57"/>
      <c r="AH100" s="57"/>
      <c r="AI100" s="57"/>
    </row>
    <row r="101" spans="2:38" ht="12.75" hidden="1" customHeight="1" x14ac:dyDescent="0.25">
      <c r="B101" s="50"/>
      <c r="C101" s="51"/>
      <c r="D101" s="53"/>
      <c r="E101" s="53"/>
      <c r="F101" s="53"/>
      <c r="G101" s="54"/>
      <c r="H101" s="53"/>
      <c r="I101" s="52"/>
      <c r="J101" s="53"/>
      <c r="K101" s="53"/>
      <c r="L101" s="53"/>
      <c r="M101" s="50"/>
      <c r="N101" s="51"/>
      <c r="O101" s="53"/>
      <c r="P101" s="53"/>
      <c r="Q101" s="53"/>
      <c r="R101" s="52"/>
      <c r="S101" s="53"/>
      <c r="T101" s="53"/>
      <c r="U101" s="53"/>
      <c r="V101" s="54"/>
      <c r="W101" s="53"/>
      <c r="X101" s="76"/>
      <c r="Y101" s="76"/>
      <c r="Z101" s="57"/>
      <c r="AA101" s="57"/>
      <c r="AB101" s="45"/>
      <c r="AC101" s="57"/>
      <c r="AD101" s="57"/>
      <c r="AE101" s="57"/>
      <c r="AF101" s="45"/>
      <c r="AG101" s="57"/>
      <c r="AH101" s="57"/>
      <c r="AI101" s="57"/>
    </row>
    <row r="102" spans="2:38" ht="12.75" hidden="1" customHeight="1" x14ac:dyDescent="0.25">
      <c r="B102" s="478"/>
      <c r="C102" s="388"/>
      <c r="D102" s="60"/>
      <c r="E102" s="60"/>
      <c r="F102" s="60"/>
      <c r="G102" s="60"/>
      <c r="H102" s="60"/>
      <c r="I102" s="60"/>
      <c r="J102" s="60"/>
      <c r="K102" s="60"/>
      <c r="L102" s="60"/>
      <c r="M102" s="478"/>
      <c r="N102" s="388"/>
      <c r="O102" s="60"/>
      <c r="P102" s="60"/>
      <c r="Q102" s="60"/>
      <c r="R102" s="60"/>
      <c r="S102" s="60"/>
      <c r="T102" s="60"/>
      <c r="U102" s="60"/>
      <c r="V102" s="60"/>
      <c r="W102" s="60"/>
      <c r="X102" s="61"/>
      <c r="AB102" s="68"/>
      <c r="AD102" s="18"/>
      <c r="AG102" s="45"/>
      <c r="AH102" s="57"/>
      <c r="AI102" s="57"/>
    </row>
    <row r="103" spans="2:38" ht="12.75" customHeight="1" x14ac:dyDescent="0.25">
      <c r="M103" s="61"/>
      <c r="O103" s="71"/>
      <c r="P103" s="71"/>
      <c r="Q103" s="71"/>
      <c r="R103" s="71"/>
      <c r="S103" s="71"/>
      <c r="T103" s="71"/>
      <c r="U103" s="71"/>
      <c r="AB103" s="68"/>
      <c r="AD103" s="71"/>
      <c r="AE103" s="71"/>
      <c r="AF103" s="71"/>
      <c r="AG103" s="77"/>
      <c r="AH103" s="59"/>
      <c r="AI103" s="57"/>
    </row>
    <row r="104" spans="2:38" ht="12.75" customHeight="1" x14ac:dyDescent="0.25">
      <c r="B104" s="551" t="s">
        <v>539</v>
      </c>
      <c r="C104" s="365"/>
      <c r="D104" s="365"/>
      <c r="E104" s="365"/>
      <c r="F104" s="365"/>
      <c r="G104" s="365"/>
      <c r="H104" s="365"/>
      <c r="I104" s="365"/>
      <c r="J104" s="365"/>
      <c r="K104" s="365"/>
      <c r="L104" s="365"/>
      <c r="M104" s="365"/>
      <c r="N104" s="365"/>
      <c r="O104" s="365"/>
      <c r="P104" s="365"/>
      <c r="Q104" s="365"/>
      <c r="R104" s="365"/>
      <c r="S104" s="365"/>
      <c r="T104" s="366"/>
      <c r="U104" s="78"/>
      <c r="V104" s="78"/>
      <c r="AB104" s="68"/>
      <c r="AD104" s="71"/>
      <c r="AE104" s="71"/>
      <c r="AF104" s="71"/>
      <c r="AG104" s="77"/>
      <c r="AH104" s="59"/>
      <c r="AI104" s="57"/>
    </row>
    <row r="105" spans="2:38" ht="12.75" customHeight="1" x14ac:dyDescent="0.3">
      <c r="B105" s="312"/>
      <c r="C105" s="313"/>
      <c r="D105" s="313"/>
      <c r="E105" s="313"/>
      <c r="F105" s="313"/>
      <c r="G105" s="313"/>
      <c r="H105" s="313"/>
      <c r="I105" s="313"/>
      <c r="J105" s="313"/>
      <c r="K105" s="314" t="s">
        <v>540</v>
      </c>
      <c r="L105" s="313"/>
      <c r="M105" s="313"/>
      <c r="N105" s="313"/>
      <c r="O105" s="313"/>
      <c r="P105" s="313"/>
      <c r="Q105" s="313"/>
      <c r="R105" s="313"/>
      <c r="S105" s="315"/>
      <c r="T105" s="316"/>
      <c r="U105" s="78"/>
      <c r="V105" s="78"/>
      <c r="AB105" s="68"/>
      <c r="AD105" s="71"/>
      <c r="AE105" s="71"/>
      <c r="AF105" s="71"/>
      <c r="AG105" s="77"/>
      <c r="AH105" s="59"/>
      <c r="AI105" s="57"/>
    </row>
    <row r="106" spans="2:38" ht="12.75" customHeight="1" x14ac:dyDescent="0.25">
      <c r="B106" s="317"/>
      <c r="C106" s="318"/>
      <c r="D106" s="318"/>
      <c r="E106" s="318"/>
      <c r="F106" s="319"/>
      <c r="G106" s="552" t="s">
        <v>440</v>
      </c>
      <c r="H106" s="361"/>
      <c r="I106" s="361"/>
      <c r="J106" s="361"/>
      <c r="K106" s="361"/>
      <c r="L106" s="361"/>
      <c r="M106" s="361"/>
      <c r="N106" s="361"/>
      <c r="O106" s="388"/>
      <c r="P106" s="319"/>
      <c r="Q106" s="319"/>
      <c r="R106" s="319"/>
      <c r="S106" s="319"/>
      <c r="T106" s="320"/>
      <c r="AB106" s="68"/>
      <c r="AD106" s="71"/>
      <c r="AE106" s="71"/>
      <c r="AF106" s="71"/>
      <c r="AG106" s="77"/>
      <c r="AH106" s="59"/>
      <c r="AI106" s="57"/>
    </row>
    <row r="107" spans="2:38" ht="12.75" customHeight="1" x14ac:dyDescent="0.25">
      <c r="B107" s="317"/>
      <c r="C107" s="319"/>
      <c r="D107" s="319"/>
      <c r="E107" s="319"/>
      <c r="F107" s="319"/>
      <c r="G107" s="321">
        <v>1</v>
      </c>
      <c r="H107" s="321">
        <v>2</v>
      </c>
      <c r="I107" s="321">
        <v>3</v>
      </c>
      <c r="J107" s="321">
        <v>4</v>
      </c>
      <c r="K107" s="321">
        <v>5</v>
      </c>
      <c r="L107" s="321">
        <v>6</v>
      </c>
      <c r="M107" s="321">
        <v>7</v>
      </c>
      <c r="N107" s="321">
        <v>8</v>
      </c>
      <c r="O107" s="321">
        <v>9</v>
      </c>
      <c r="P107" s="319"/>
      <c r="Q107" s="319"/>
      <c r="R107" s="319"/>
      <c r="S107" s="319"/>
      <c r="T107" s="320"/>
      <c r="AB107" s="68"/>
      <c r="AD107" s="71"/>
      <c r="AE107" s="71"/>
      <c r="AF107" s="71"/>
      <c r="AG107" s="77"/>
      <c r="AH107" s="59"/>
      <c r="AI107" s="57"/>
    </row>
    <row r="108" spans="2:38" ht="12.75" customHeight="1" x14ac:dyDescent="0.25">
      <c r="B108" s="317"/>
      <c r="C108" s="319"/>
      <c r="D108" s="319"/>
      <c r="E108" s="319"/>
      <c r="F108" s="319"/>
      <c r="G108" s="322"/>
      <c r="H108" s="322"/>
      <c r="I108" s="322"/>
      <c r="J108" s="322"/>
      <c r="K108" s="322"/>
      <c r="L108" s="322"/>
      <c r="M108" s="322"/>
      <c r="N108" s="322"/>
      <c r="O108" s="322"/>
      <c r="P108" s="319"/>
      <c r="Q108" s="319"/>
      <c r="R108" s="319"/>
      <c r="S108" s="319"/>
      <c r="T108" s="320"/>
      <c r="AB108" s="68"/>
      <c r="AD108" s="71"/>
      <c r="AE108" s="71"/>
      <c r="AF108" s="71"/>
      <c r="AG108" s="77"/>
      <c r="AH108" s="59"/>
      <c r="AI108" s="57"/>
    </row>
    <row r="109" spans="2:38" ht="12.75" customHeight="1" x14ac:dyDescent="0.25">
      <c r="B109" s="554" t="s">
        <v>541</v>
      </c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68"/>
      <c r="Q109" s="368"/>
      <c r="R109" s="368"/>
      <c r="S109" s="368"/>
      <c r="T109" s="369"/>
      <c r="AB109" s="68"/>
      <c r="AD109" s="71"/>
      <c r="AE109" s="71"/>
      <c r="AF109" s="71"/>
      <c r="AG109" s="77"/>
      <c r="AH109" s="59"/>
      <c r="AI109" s="57"/>
    </row>
    <row r="110" spans="2:38" ht="12.75" customHeight="1" x14ac:dyDescent="0.25">
      <c r="B110" s="317"/>
      <c r="C110" s="319"/>
      <c r="D110" s="319"/>
      <c r="E110" s="319"/>
      <c r="F110" s="319"/>
      <c r="G110" s="319"/>
      <c r="H110" s="319"/>
      <c r="I110" s="319"/>
      <c r="J110" s="555"/>
      <c r="K110" s="361"/>
      <c r="L110" s="388"/>
      <c r="M110" s="323"/>
      <c r="N110" s="319"/>
      <c r="O110" s="319"/>
      <c r="P110" s="319"/>
      <c r="Q110" s="319"/>
      <c r="R110" s="319"/>
      <c r="S110" s="319"/>
      <c r="T110" s="320"/>
      <c r="AB110" s="68"/>
      <c r="AD110" s="18"/>
      <c r="AG110" s="45"/>
      <c r="AH110" s="57"/>
      <c r="AI110" s="57"/>
    </row>
    <row r="111" spans="2:38" ht="12.75" customHeight="1" x14ac:dyDescent="0.25">
      <c r="B111" s="554" t="s">
        <v>542</v>
      </c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8"/>
      <c r="Q111" s="368"/>
      <c r="R111" s="368"/>
      <c r="S111" s="368"/>
      <c r="T111" s="369"/>
      <c r="AB111" s="68"/>
      <c r="AD111" s="18"/>
      <c r="AG111" s="45"/>
      <c r="AH111" s="57"/>
      <c r="AI111" s="57"/>
    </row>
    <row r="112" spans="2:38" ht="12.75" customHeight="1" x14ac:dyDescent="0.3">
      <c r="B112" s="324"/>
      <c r="C112" s="314"/>
      <c r="D112" s="314"/>
      <c r="E112" s="314"/>
      <c r="F112" s="314"/>
      <c r="G112" s="314"/>
      <c r="H112" s="314"/>
      <c r="I112" s="314"/>
      <c r="J112" s="314"/>
      <c r="K112" s="325"/>
      <c r="L112" s="314"/>
      <c r="M112" s="314"/>
      <c r="N112" s="314"/>
      <c r="O112" s="314"/>
      <c r="P112" s="314"/>
      <c r="Q112" s="314"/>
      <c r="R112" s="314"/>
      <c r="S112" s="326"/>
      <c r="T112" s="327"/>
      <c r="AB112" s="68"/>
      <c r="AD112" s="18"/>
      <c r="AG112" s="45"/>
      <c r="AH112" s="57"/>
      <c r="AI112" s="57"/>
    </row>
    <row r="113" spans="2:35" ht="12.75" customHeight="1" x14ac:dyDescent="0.25">
      <c r="B113" s="317"/>
      <c r="C113" s="319"/>
      <c r="D113" s="319"/>
      <c r="E113" s="319"/>
      <c r="F113" s="319"/>
      <c r="G113" s="319"/>
      <c r="H113" s="319"/>
      <c r="I113" s="319"/>
      <c r="J113" s="319"/>
      <c r="K113" s="319"/>
      <c r="L113" s="328"/>
      <c r="M113" s="323"/>
      <c r="N113" s="319"/>
      <c r="O113" s="319"/>
      <c r="P113" s="319"/>
      <c r="Q113" s="319"/>
      <c r="R113" s="319"/>
      <c r="S113" s="319"/>
      <c r="T113" s="320"/>
      <c r="AB113" s="68"/>
      <c r="AD113" s="18"/>
      <c r="AG113" s="45"/>
      <c r="AH113" s="57"/>
      <c r="AI113" s="57"/>
    </row>
    <row r="114" spans="2:35" ht="12.75" customHeight="1" x14ac:dyDescent="0.25">
      <c r="B114" s="329"/>
      <c r="C114" s="330"/>
      <c r="D114" s="330"/>
      <c r="E114" s="330"/>
      <c r="F114" s="330"/>
      <c r="G114" s="330"/>
      <c r="H114" s="330"/>
      <c r="I114" s="330"/>
      <c r="J114" s="330"/>
      <c r="K114" s="331" t="s">
        <v>543</v>
      </c>
      <c r="L114" s="330"/>
      <c r="M114" s="332"/>
      <c r="N114" s="330"/>
      <c r="O114" s="330"/>
      <c r="P114" s="330"/>
      <c r="Q114" s="330"/>
      <c r="R114" s="330"/>
      <c r="S114" s="330"/>
      <c r="T114" s="333"/>
      <c r="AB114" s="68"/>
      <c r="AD114" s="18"/>
      <c r="AG114" s="45"/>
      <c r="AH114" s="57"/>
      <c r="AI114" s="57"/>
    </row>
    <row r="115" spans="2:35" ht="30" customHeight="1" x14ac:dyDescent="0.25">
      <c r="B115" s="432" t="s">
        <v>436</v>
      </c>
      <c r="C115" s="368"/>
      <c r="D115" s="368"/>
      <c r="E115" s="433"/>
      <c r="F115" s="556"/>
      <c r="G115" s="368"/>
      <c r="H115" s="368"/>
      <c r="I115" s="368"/>
      <c r="J115" s="368"/>
      <c r="K115" s="368"/>
      <c r="L115" s="368"/>
      <c r="M115" s="368"/>
      <c r="N115" s="368"/>
      <c r="O115" s="368"/>
      <c r="P115" s="368"/>
      <c r="Q115" s="368"/>
      <c r="R115" s="433"/>
      <c r="AB115" s="68"/>
      <c r="AD115" s="18"/>
      <c r="AG115" s="45"/>
      <c r="AH115" s="57"/>
      <c r="AI115" s="57"/>
    </row>
    <row r="116" spans="2:35" ht="12.75" customHeight="1" x14ac:dyDescent="0.25">
      <c r="B116" s="61"/>
      <c r="J116" s="18"/>
      <c r="K116" s="18"/>
      <c r="L116" s="18"/>
      <c r="M116" s="61"/>
      <c r="O116" s="116"/>
      <c r="P116" s="334"/>
      <c r="Q116" s="334" t="s">
        <v>437</v>
      </c>
      <c r="R116" s="553">
        <f>+M172</f>
        <v>0</v>
      </c>
      <c r="S116" s="433"/>
      <c r="AB116" s="68"/>
      <c r="AD116" s="18"/>
      <c r="AG116" s="45"/>
      <c r="AH116" s="57"/>
      <c r="AI116" s="57"/>
    </row>
    <row r="117" spans="2:35" ht="12.75" customHeight="1" x14ac:dyDescent="0.25">
      <c r="B117" s="61"/>
      <c r="J117" s="335"/>
      <c r="K117" s="335"/>
      <c r="L117" s="335"/>
      <c r="M117" s="61"/>
      <c r="O117" s="71"/>
      <c r="P117" s="71"/>
      <c r="Q117" s="71"/>
      <c r="R117" s="71"/>
      <c r="S117" s="71"/>
      <c r="T117" s="71"/>
      <c r="AB117" s="68"/>
      <c r="AD117" s="18"/>
      <c r="AG117" s="45"/>
      <c r="AH117" s="57"/>
      <c r="AI117" s="57"/>
    </row>
    <row r="118" spans="2:35" ht="12.75" customHeight="1" x14ac:dyDescent="0.25">
      <c r="B118" s="557" t="s">
        <v>525</v>
      </c>
      <c r="C118" s="361"/>
      <c r="D118" s="361"/>
      <c r="E118" s="361"/>
      <c r="F118" s="361"/>
      <c r="G118" s="361"/>
      <c r="H118" s="361"/>
      <c r="I118" s="361"/>
      <c r="J118" s="361"/>
      <c r="K118" s="361"/>
      <c r="L118" s="361"/>
      <c r="M118" s="361"/>
      <c r="N118" s="361"/>
      <c r="O118" s="361"/>
      <c r="P118" s="361"/>
      <c r="Q118" s="361"/>
      <c r="R118" s="361"/>
      <c r="S118" s="361"/>
      <c r="T118" s="388"/>
      <c r="X118" s="61"/>
      <c r="AB118" s="68"/>
      <c r="AD118" s="18"/>
      <c r="AG118" s="45"/>
      <c r="AH118" s="57"/>
      <c r="AI118" s="57"/>
    </row>
    <row r="119" spans="2:35" ht="12.75" customHeight="1" x14ac:dyDescent="0.35">
      <c r="B119" s="61"/>
      <c r="J119" s="336"/>
      <c r="K119" s="336"/>
      <c r="L119" s="336"/>
      <c r="M119" s="61"/>
      <c r="O119" s="131" t="s">
        <v>474</v>
      </c>
      <c r="P119" s="132"/>
      <c r="Q119" s="132"/>
      <c r="R119" s="132"/>
      <c r="S119" s="132"/>
      <c r="T119" s="132"/>
      <c r="AB119" s="68"/>
      <c r="AD119" s="71"/>
      <c r="AE119" s="71"/>
      <c r="AF119" s="71"/>
      <c r="AG119" s="77"/>
      <c r="AH119" s="59"/>
      <c r="AI119" s="57"/>
    </row>
    <row r="120" spans="2:35" ht="12.75" customHeight="1" x14ac:dyDescent="0.35">
      <c r="B120" s="487" t="s">
        <v>439</v>
      </c>
      <c r="C120" s="361"/>
      <c r="D120" s="80">
        <f>(MAX($B$174:$J$174)+MIN($B$174:$J$174))/2</f>
        <v>0</v>
      </c>
      <c r="J120" s="18"/>
      <c r="K120" s="18"/>
      <c r="L120" s="18"/>
      <c r="M120" s="61"/>
      <c r="O120" s="133"/>
      <c r="P120" s="132"/>
      <c r="Q120" s="132"/>
      <c r="R120" s="132"/>
      <c r="S120" s="132"/>
      <c r="T120" s="132"/>
      <c r="X120" s="61"/>
      <c r="AB120" s="68"/>
      <c r="AD120" s="18"/>
      <c r="AG120" s="45"/>
      <c r="AH120" s="57"/>
      <c r="AI120" s="57"/>
    </row>
    <row r="121" spans="2:35" ht="12.75" customHeight="1" x14ac:dyDescent="0.25">
      <c r="B121" s="61"/>
      <c r="M121" s="61"/>
      <c r="O121" s="520"/>
      <c r="P121" s="446"/>
      <c r="Q121" s="446"/>
      <c r="R121" s="520"/>
      <c r="S121" s="446"/>
      <c r="T121" s="446"/>
      <c r="X121" s="61"/>
      <c r="AB121" s="68"/>
      <c r="AD121" s="18"/>
      <c r="AG121" s="45"/>
      <c r="AH121" s="57"/>
      <c r="AI121" s="57"/>
    </row>
    <row r="122" spans="2:35" ht="12.75" customHeight="1" x14ac:dyDescent="0.25">
      <c r="B122" s="61"/>
      <c r="M122" s="61"/>
      <c r="O122" s="521"/>
      <c r="P122" s="446"/>
      <c r="Q122" s="446"/>
      <c r="R122" s="446"/>
      <c r="S122" s="446"/>
      <c r="T122" s="497"/>
      <c r="X122" s="61"/>
      <c r="AB122" s="68"/>
      <c r="AD122" s="18"/>
      <c r="AG122" s="45"/>
      <c r="AH122" s="57"/>
      <c r="AI122" s="57"/>
    </row>
    <row r="123" spans="2:35" ht="12.75" customHeight="1" x14ac:dyDescent="0.25">
      <c r="B123" s="61"/>
      <c r="M123" s="61"/>
      <c r="O123" s="523"/>
      <c r="P123" s="446"/>
      <c r="Q123" s="446"/>
      <c r="R123" s="446"/>
      <c r="S123" s="446"/>
      <c r="T123" s="446"/>
      <c r="AB123" s="68"/>
      <c r="AD123" s="71"/>
      <c r="AE123" s="71"/>
      <c r="AF123" s="71"/>
      <c r="AG123" s="77"/>
      <c r="AH123" s="59"/>
      <c r="AI123" s="57"/>
    </row>
    <row r="124" spans="2:35" ht="12.75" customHeight="1" x14ac:dyDescent="0.25">
      <c r="B124" s="61"/>
      <c r="M124" s="61"/>
      <c r="O124" s="523"/>
      <c r="P124" s="446"/>
      <c r="Q124" s="446"/>
      <c r="R124" s="446"/>
      <c r="S124" s="446"/>
      <c r="T124" s="446"/>
      <c r="AB124" s="68"/>
      <c r="AD124" s="71"/>
      <c r="AE124" s="71"/>
      <c r="AF124" s="71"/>
      <c r="AG124" s="77"/>
      <c r="AH124" s="59"/>
      <c r="AI124" s="57"/>
    </row>
    <row r="125" spans="2:35" ht="12.75" customHeight="1" x14ac:dyDescent="0.25">
      <c r="B125" s="61"/>
      <c r="M125" s="61"/>
      <c r="AB125" s="68"/>
      <c r="AD125" s="71"/>
      <c r="AE125" s="71"/>
      <c r="AF125" s="71"/>
      <c r="AG125" s="77"/>
      <c r="AH125" s="59"/>
      <c r="AI125" s="57"/>
    </row>
    <row r="126" spans="2:35" ht="12.75" customHeight="1" x14ac:dyDescent="0.25">
      <c r="B126" s="61"/>
      <c r="M126" s="61"/>
      <c r="AB126" s="68"/>
      <c r="AD126" s="18"/>
      <c r="AG126" s="45"/>
      <c r="AH126" s="57"/>
      <c r="AI126" s="57"/>
    </row>
    <row r="127" spans="2:35" ht="12.75" customHeight="1" x14ac:dyDescent="0.25">
      <c r="B127" s="61"/>
      <c r="M127" s="61"/>
      <c r="O127" s="71"/>
      <c r="P127" s="71"/>
      <c r="Q127" s="71"/>
      <c r="R127" s="71"/>
      <c r="S127" s="71"/>
      <c r="T127" s="71"/>
      <c r="AB127" s="68"/>
      <c r="AD127" s="18"/>
      <c r="AG127" s="45"/>
      <c r="AH127" s="57"/>
      <c r="AI127" s="57"/>
    </row>
    <row r="128" spans="2:35" ht="12.75" customHeight="1" x14ac:dyDescent="0.25">
      <c r="B128" s="61"/>
      <c r="M128" s="61"/>
      <c r="P128" s="71"/>
      <c r="Q128" s="71"/>
      <c r="R128" s="71"/>
      <c r="S128" s="71"/>
      <c r="T128" s="71"/>
      <c r="AB128" s="68"/>
      <c r="AD128" s="71"/>
      <c r="AE128" s="71"/>
      <c r="AF128" s="71"/>
      <c r="AG128" s="77"/>
      <c r="AH128" s="59"/>
      <c r="AI128" s="57"/>
    </row>
    <row r="129" spans="2:35" ht="12.75" customHeight="1" x14ac:dyDescent="0.25">
      <c r="B129" s="61"/>
      <c r="M129" s="61"/>
      <c r="O129" s="71"/>
      <c r="P129" s="71"/>
      <c r="Q129" s="71"/>
      <c r="R129" s="71"/>
      <c r="S129" s="71"/>
      <c r="T129" s="71"/>
      <c r="AB129" s="68"/>
      <c r="AD129" s="71"/>
      <c r="AE129" s="71"/>
      <c r="AF129" s="71"/>
      <c r="AG129" s="77"/>
      <c r="AH129" s="59"/>
      <c r="AI129" s="57"/>
    </row>
    <row r="130" spans="2:35" ht="12.75" customHeight="1" x14ac:dyDescent="0.25">
      <c r="B130" s="61"/>
      <c r="M130" s="61"/>
      <c r="AB130" s="68"/>
      <c r="AD130" s="18"/>
      <c r="AG130" s="45"/>
      <c r="AH130" s="57"/>
      <c r="AI130" s="57"/>
    </row>
    <row r="131" spans="2:35" ht="12.75" customHeight="1" x14ac:dyDescent="0.25">
      <c r="B131" s="61"/>
      <c r="M131" s="61"/>
      <c r="AB131" s="68"/>
      <c r="AD131" s="18"/>
      <c r="AG131" s="45"/>
      <c r="AH131" s="57"/>
      <c r="AI131" s="57"/>
    </row>
    <row r="132" spans="2:35" ht="12.75" customHeight="1" x14ac:dyDescent="0.25">
      <c r="B132" s="61"/>
      <c r="M132" s="61"/>
      <c r="X132" s="61"/>
      <c r="AB132" s="68"/>
      <c r="AD132" s="18"/>
      <c r="AG132" s="45"/>
      <c r="AH132" s="57"/>
      <c r="AI132" s="57"/>
    </row>
    <row r="133" spans="2:35" ht="12.75" customHeight="1" x14ac:dyDescent="0.25">
      <c r="B133" s="61"/>
      <c r="M133" s="61"/>
      <c r="X133" s="61"/>
      <c r="AB133" s="68"/>
      <c r="AD133" s="18"/>
      <c r="AG133" s="45"/>
      <c r="AH133" s="57"/>
      <c r="AI133" s="57"/>
    </row>
    <row r="134" spans="2:35" ht="12.75" customHeight="1" x14ac:dyDescent="0.25">
      <c r="B134" s="61"/>
      <c r="K134" s="82">
        <f>+J174</f>
        <v>0</v>
      </c>
      <c r="M134" s="61"/>
      <c r="X134" s="61"/>
      <c r="AB134" s="68"/>
      <c r="AD134" s="18"/>
      <c r="AG134" s="45"/>
      <c r="AH134" s="57"/>
      <c r="AI134" s="57"/>
    </row>
    <row r="135" spans="2:35" ht="12.75" customHeight="1" x14ac:dyDescent="0.25">
      <c r="B135" s="61"/>
      <c r="M135" s="61"/>
      <c r="X135" s="61"/>
      <c r="AB135" s="68"/>
      <c r="AD135" s="18"/>
      <c r="AG135" s="45"/>
      <c r="AH135" s="57"/>
      <c r="AI135" s="57"/>
    </row>
    <row r="136" spans="2:35" ht="12.75" customHeight="1" x14ac:dyDescent="0.25">
      <c r="B136" s="61"/>
      <c r="M136" s="61"/>
      <c r="X136" s="61"/>
      <c r="AB136" s="68"/>
      <c r="AD136" s="18"/>
      <c r="AG136" s="45"/>
      <c r="AH136" s="57"/>
      <c r="AI136" s="57"/>
    </row>
    <row r="137" spans="2:35" ht="12.75" customHeight="1" x14ac:dyDescent="0.25">
      <c r="B137" s="61"/>
      <c r="M137" s="61"/>
      <c r="X137" s="61"/>
      <c r="AB137" s="68"/>
      <c r="AD137" s="18"/>
      <c r="AG137" s="45"/>
      <c r="AH137" s="57"/>
      <c r="AI137" s="57"/>
    </row>
    <row r="138" spans="2:35" ht="12.75" customHeight="1" x14ac:dyDescent="0.25">
      <c r="B138" s="61"/>
      <c r="M138" s="61"/>
      <c r="X138" s="61"/>
      <c r="AB138" s="68"/>
      <c r="AD138" s="18"/>
      <c r="AG138" s="45"/>
      <c r="AH138" s="57"/>
      <c r="AI138" s="57"/>
    </row>
    <row r="139" spans="2:35" ht="12.75" customHeight="1" x14ac:dyDescent="0.25">
      <c r="B139" s="61"/>
      <c r="M139" s="61"/>
      <c r="X139" s="61"/>
      <c r="AB139" s="68"/>
      <c r="AD139" s="18"/>
      <c r="AG139" s="45"/>
      <c r="AH139" s="57"/>
      <c r="AI139" s="57"/>
    </row>
    <row r="140" spans="2:35" ht="12.75" customHeight="1" x14ac:dyDescent="0.25">
      <c r="B140" s="61"/>
      <c r="E140" s="82">
        <f>+I174</f>
        <v>0</v>
      </c>
      <c r="M140" s="61"/>
      <c r="Q140" s="82">
        <f>+B174</f>
        <v>0</v>
      </c>
      <c r="X140" s="61"/>
      <c r="AB140" s="68"/>
      <c r="AD140" s="18"/>
      <c r="AG140" s="45"/>
      <c r="AH140" s="57"/>
      <c r="AI140" s="57"/>
    </row>
    <row r="141" spans="2:35" ht="12.75" customHeight="1" x14ac:dyDescent="0.25">
      <c r="B141" s="61"/>
      <c r="M141" s="61"/>
      <c r="X141" s="61"/>
      <c r="AB141" s="68"/>
      <c r="AD141" s="18"/>
      <c r="AG141" s="45"/>
      <c r="AH141" s="57"/>
      <c r="AI141" s="57"/>
    </row>
    <row r="142" spans="2:35" ht="12.75" customHeight="1" x14ac:dyDescent="0.25">
      <c r="B142" s="61"/>
      <c r="M142" s="61"/>
      <c r="X142" s="61"/>
      <c r="AB142" s="68"/>
      <c r="AD142" s="18"/>
      <c r="AG142" s="45"/>
      <c r="AH142" s="57"/>
      <c r="AI142" s="57"/>
    </row>
    <row r="143" spans="2:35" ht="12.75" customHeight="1" x14ac:dyDescent="0.25">
      <c r="B143" s="61"/>
      <c r="M143" s="61"/>
      <c r="X143" s="61"/>
      <c r="AB143" s="68"/>
      <c r="AD143" s="18"/>
      <c r="AG143" s="45"/>
      <c r="AH143" s="57"/>
      <c r="AI143" s="57"/>
    </row>
    <row r="144" spans="2:35" ht="12.75" customHeight="1" x14ac:dyDescent="0.25">
      <c r="B144" s="61"/>
      <c r="M144" s="61"/>
      <c r="X144" s="61"/>
      <c r="AB144" s="68"/>
      <c r="AD144" s="18"/>
      <c r="AG144" s="45"/>
      <c r="AH144" s="57"/>
      <c r="AI144" s="57"/>
    </row>
    <row r="145" spans="2:35" ht="12.75" customHeight="1" x14ac:dyDescent="0.25">
      <c r="B145" s="61"/>
      <c r="M145" s="61"/>
      <c r="X145" s="61"/>
      <c r="AB145" s="68"/>
      <c r="AD145" s="18"/>
      <c r="AG145" s="45"/>
      <c r="AH145" s="57"/>
      <c r="AI145" s="57"/>
    </row>
    <row r="146" spans="2:35" ht="12.75" customHeight="1" x14ac:dyDescent="0.25">
      <c r="B146" s="61"/>
      <c r="M146" s="61"/>
      <c r="X146" s="61"/>
      <c r="AB146" s="68"/>
      <c r="AD146" s="18"/>
      <c r="AG146" s="45"/>
      <c r="AH146" s="57"/>
      <c r="AI146" s="57"/>
    </row>
    <row r="147" spans="2:35" ht="12.75" customHeight="1" x14ac:dyDescent="0.25">
      <c r="B147" s="61"/>
      <c r="M147" s="61"/>
      <c r="X147" s="61"/>
      <c r="AB147" s="68"/>
      <c r="AD147" s="18"/>
      <c r="AG147" s="45"/>
      <c r="AH147" s="57"/>
      <c r="AI147" s="57"/>
    </row>
    <row r="148" spans="2:35" ht="12.75" customHeight="1" x14ac:dyDescent="0.25">
      <c r="B148" s="61"/>
      <c r="E148" s="82">
        <f>+H174</f>
        <v>0</v>
      </c>
      <c r="M148" s="61"/>
      <c r="Q148" s="82">
        <f>+C174</f>
        <v>0</v>
      </c>
      <c r="X148" s="61"/>
      <c r="AB148" s="68"/>
      <c r="AD148" s="18"/>
      <c r="AG148" s="45"/>
      <c r="AH148" s="57"/>
      <c r="AI148" s="57"/>
    </row>
    <row r="149" spans="2:35" ht="12.75" customHeight="1" x14ac:dyDescent="0.25">
      <c r="B149" s="61"/>
      <c r="M149" s="61"/>
      <c r="X149" s="61"/>
      <c r="AB149" s="68"/>
      <c r="AD149" s="18"/>
      <c r="AG149" s="45"/>
      <c r="AH149" s="57"/>
      <c r="AI149" s="57"/>
    </row>
    <row r="150" spans="2:35" ht="12.75" customHeight="1" x14ac:dyDescent="0.25">
      <c r="B150" s="61"/>
      <c r="M150" s="61"/>
      <c r="X150" s="61"/>
      <c r="AB150" s="68"/>
      <c r="AD150" s="18"/>
      <c r="AG150" s="45"/>
      <c r="AH150" s="57"/>
      <c r="AI150" s="57"/>
    </row>
    <row r="151" spans="2:35" ht="12.75" customHeight="1" x14ac:dyDescent="0.25">
      <c r="B151" s="61"/>
      <c r="M151" s="61"/>
      <c r="X151" s="61"/>
      <c r="AB151" s="68"/>
      <c r="AD151" s="18"/>
      <c r="AG151" s="45"/>
      <c r="AH151" s="57"/>
      <c r="AI151" s="57"/>
    </row>
    <row r="152" spans="2:35" ht="12.75" customHeight="1" x14ac:dyDescent="0.25">
      <c r="B152" s="61"/>
      <c r="M152" s="61"/>
      <c r="X152" s="61"/>
      <c r="AB152" s="68"/>
      <c r="AD152" s="18"/>
      <c r="AG152" s="45"/>
      <c r="AH152" s="57"/>
      <c r="AI152" s="57"/>
    </row>
    <row r="153" spans="2:35" ht="12.75" customHeight="1" x14ac:dyDescent="0.25">
      <c r="B153" s="61"/>
      <c r="M153" s="61"/>
      <c r="X153" s="61"/>
      <c r="AB153" s="68"/>
      <c r="AD153" s="18"/>
      <c r="AG153" s="45"/>
      <c r="AH153" s="57"/>
      <c r="AI153" s="57"/>
    </row>
    <row r="154" spans="2:35" ht="12.75" customHeight="1" x14ac:dyDescent="0.25">
      <c r="B154" s="61"/>
      <c r="M154" s="61"/>
      <c r="X154" s="61"/>
      <c r="AB154" s="68"/>
      <c r="AD154" s="18"/>
      <c r="AG154" s="45"/>
      <c r="AH154" s="57"/>
      <c r="AI154" s="57"/>
    </row>
    <row r="155" spans="2:35" ht="12.75" customHeight="1" x14ac:dyDescent="0.25">
      <c r="B155" s="61"/>
      <c r="M155" s="61"/>
      <c r="X155" s="61"/>
      <c r="AB155" s="68"/>
      <c r="AD155" s="18"/>
      <c r="AG155" s="45"/>
      <c r="AH155" s="57"/>
      <c r="AI155" s="57"/>
    </row>
    <row r="156" spans="2:35" ht="12.75" customHeight="1" x14ac:dyDescent="0.25">
      <c r="B156" s="61"/>
      <c r="M156" s="61"/>
      <c r="X156" s="61"/>
      <c r="AB156" s="68"/>
      <c r="AD156" s="18"/>
      <c r="AG156" s="45"/>
      <c r="AH156" s="57"/>
      <c r="AI156" s="57"/>
    </row>
    <row r="157" spans="2:35" ht="12.75" customHeight="1" x14ac:dyDescent="0.25">
      <c r="B157" s="61"/>
      <c r="M157" s="61"/>
      <c r="X157" s="61"/>
      <c r="AB157" s="68"/>
      <c r="AD157" s="18"/>
      <c r="AG157" s="45"/>
      <c r="AH157" s="57"/>
      <c r="AI157" s="57"/>
    </row>
    <row r="158" spans="2:35" ht="12.75" customHeight="1" x14ac:dyDescent="0.25">
      <c r="B158" s="61"/>
      <c r="E158" s="82">
        <f>+G174</f>
        <v>0</v>
      </c>
      <c r="M158" s="61"/>
      <c r="Q158" s="82">
        <f>+D174</f>
        <v>0</v>
      </c>
      <c r="X158" s="61"/>
      <c r="AB158" s="68"/>
      <c r="AD158" s="18"/>
      <c r="AG158" s="45"/>
      <c r="AH158" s="57"/>
      <c r="AI158" s="57"/>
    </row>
    <row r="159" spans="2:35" ht="12.75" customHeight="1" x14ac:dyDescent="0.25">
      <c r="B159" s="61"/>
      <c r="M159" s="61"/>
      <c r="X159" s="61"/>
      <c r="AB159" s="68"/>
      <c r="AD159" s="18"/>
      <c r="AG159" s="45"/>
      <c r="AH159" s="57"/>
      <c r="AI159" s="57"/>
    </row>
    <row r="160" spans="2:35" ht="12.75" customHeight="1" x14ac:dyDescent="0.25">
      <c r="B160" s="61"/>
      <c r="M160" s="61"/>
      <c r="X160" s="61"/>
      <c r="AB160" s="68"/>
      <c r="AD160" s="18"/>
      <c r="AG160" s="45"/>
      <c r="AH160" s="57"/>
      <c r="AI160" s="57"/>
    </row>
    <row r="161" spans="2:35" ht="12.75" customHeight="1" x14ac:dyDescent="0.25">
      <c r="B161" s="61"/>
      <c r="M161" s="61"/>
      <c r="X161" s="61"/>
      <c r="AB161" s="68"/>
      <c r="AD161" s="18"/>
      <c r="AG161" s="45"/>
      <c r="AH161" s="57"/>
      <c r="AI161" s="57"/>
    </row>
    <row r="162" spans="2:35" ht="12.75" customHeight="1" x14ac:dyDescent="0.25">
      <c r="B162" s="61"/>
      <c r="M162" s="61"/>
      <c r="X162" s="61"/>
      <c r="AB162" s="68"/>
      <c r="AD162" s="18"/>
      <c r="AG162" s="45"/>
      <c r="AH162" s="57"/>
      <c r="AI162" s="57"/>
    </row>
    <row r="163" spans="2:35" ht="12.75" customHeight="1" x14ac:dyDescent="0.25">
      <c r="B163" s="61"/>
      <c r="M163" s="61"/>
      <c r="X163" s="61"/>
      <c r="AB163" s="68"/>
      <c r="AD163" s="18"/>
      <c r="AG163" s="45"/>
      <c r="AH163" s="57"/>
      <c r="AI163" s="57"/>
    </row>
    <row r="164" spans="2:35" ht="12.75" customHeight="1" x14ac:dyDescent="0.25">
      <c r="B164" s="61"/>
      <c r="M164" s="61"/>
      <c r="X164" s="61"/>
      <c r="AB164" s="68"/>
      <c r="AD164" s="18"/>
      <c r="AG164" s="45"/>
      <c r="AH164" s="57"/>
      <c r="AI164" s="57"/>
    </row>
    <row r="165" spans="2:35" ht="12.75" customHeight="1" x14ac:dyDescent="0.25">
      <c r="B165" s="61"/>
      <c r="M165" s="61"/>
      <c r="X165" s="61"/>
      <c r="AB165" s="68"/>
      <c r="AD165" s="18"/>
      <c r="AG165" s="45"/>
      <c r="AH165" s="57"/>
      <c r="AI165" s="57"/>
    </row>
    <row r="166" spans="2:35" ht="12.75" customHeight="1" x14ac:dyDescent="0.25">
      <c r="B166" s="61"/>
      <c r="M166" s="61"/>
      <c r="X166" s="61"/>
      <c r="AB166" s="68"/>
      <c r="AD166" s="18"/>
      <c r="AG166" s="45"/>
      <c r="AH166" s="57"/>
      <c r="AI166" s="57"/>
    </row>
    <row r="167" spans="2:35" ht="12.75" customHeight="1" x14ac:dyDescent="0.25">
      <c r="B167" s="61"/>
      <c r="M167" s="61"/>
      <c r="X167" s="61"/>
      <c r="AB167" s="68"/>
      <c r="AD167" s="18"/>
      <c r="AG167" s="45"/>
      <c r="AH167" s="57"/>
      <c r="AI167" s="57"/>
    </row>
    <row r="168" spans="2:35" ht="12.75" customHeight="1" x14ac:dyDescent="0.25">
      <c r="B168" s="61"/>
      <c r="I168" s="82">
        <f>+F174</f>
        <v>0</v>
      </c>
      <c r="M168" s="82">
        <f>+E174</f>
        <v>0</v>
      </c>
      <c r="X168" s="61"/>
      <c r="AB168" s="68"/>
      <c r="AD168" s="18"/>
      <c r="AG168" s="45"/>
      <c r="AH168" s="57"/>
      <c r="AI168" s="57"/>
    </row>
    <row r="169" spans="2:35" ht="12.75" customHeight="1" x14ac:dyDescent="0.25">
      <c r="B169" s="61"/>
      <c r="M169" s="61"/>
      <c r="X169" s="61"/>
      <c r="AB169" s="68"/>
      <c r="AD169" s="18"/>
      <c r="AG169" s="45"/>
      <c r="AH169" s="57"/>
      <c r="AI169" s="57"/>
    </row>
    <row r="170" spans="2:35" ht="12.75" customHeight="1" x14ac:dyDescent="0.25">
      <c r="B170" s="61"/>
      <c r="M170" s="61"/>
      <c r="X170" s="61"/>
      <c r="AB170" s="68"/>
      <c r="AD170" s="18"/>
      <c r="AG170" s="45"/>
      <c r="AH170" s="57"/>
      <c r="AI170" s="57"/>
    </row>
    <row r="171" spans="2:35" ht="30.75" customHeight="1" x14ac:dyDescent="0.25">
      <c r="B171" s="432" t="s">
        <v>436</v>
      </c>
      <c r="C171" s="368"/>
      <c r="D171" s="368"/>
      <c r="E171" s="433"/>
      <c r="F171" s="442">
        <f>+F115</f>
        <v>0</v>
      </c>
      <c r="G171" s="368"/>
      <c r="H171" s="368"/>
      <c r="I171" s="368"/>
      <c r="J171" s="368"/>
      <c r="K171" s="368"/>
      <c r="L171" s="368"/>
      <c r="M171" s="368"/>
      <c r="N171" s="368"/>
      <c r="O171" s="368"/>
      <c r="P171" s="368"/>
      <c r="Q171" s="368"/>
      <c r="R171" s="433"/>
      <c r="S171" s="337"/>
      <c r="X171" s="61"/>
      <c r="AB171" s="68"/>
      <c r="AD171" s="18"/>
      <c r="AG171" s="83"/>
      <c r="AH171" s="72"/>
      <c r="AI171" s="57"/>
    </row>
    <row r="172" spans="2:35" ht="12.75" customHeight="1" x14ac:dyDescent="0.3">
      <c r="B172" s="567" t="s">
        <v>440</v>
      </c>
      <c r="C172" s="374"/>
      <c r="D172" s="374"/>
      <c r="E172" s="374"/>
      <c r="F172" s="374"/>
      <c r="G172" s="374"/>
      <c r="H172" s="374"/>
      <c r="I172" s="374"/>
      <c r="J172" s="375"/>
      <c r="L172" s="84" t="s">
        <v>441</v>
      </c>
      <c r="M172" s="568">
        <f>+J110</f>
        <v>0</v>
      </c>
      <c r="N172" s="433"/>
      <c r="O172" s="84" t="s">
        <v>442</v>
      </c>
      <c r="P172" s="85">
        <f>+K112</f>
        <v>0</v>
      </c>
      <c r="Q172" s="445" t="s">
        <v>443</v>
      </c>
      <c r="R172" s="446"/>
      <c r="S172" s="444">
        <f>+AFIRMACIONES!C5</f>
        <v>0</v>
      </c>
      <c r="T172" s="433"/>
      <c r="X172" s="61"/>
      <c r="AB172" s="68"/>
      <c r="AD172" s="18"/>
      <c r="AG172" s="45"/>
      <c r="AH172" s="57"/>
      <c r="AI172" s="57"/>
    </row>
    <row r="173" spans="2:35" ht="12.75" customHeight="1" x14ac:dyDescent="0.25">
      <c r="B173" s="338">
        <v>1</v>
      </c>
      <c r="C173" s="321">
        <v>2</v>
      </c>
      <c r="D173" s="321">
        <v>3</v>
      </c>
      <c r="E173" s="321">
        <v>4</v>
      </c>
      <c r="F173" s="321">
        <v>5</v>
      </c>
      <c r="G173" s="321">
        <v>6</v>
      </c>
      <c r="H173" s="321">
        <v>7</v>
      </c>
      <c r="I173" s="321">
        <v>8</v>
      </c>
      <c r="J173" s="339">
        <v>9</v>
      </c>
      <c r="M173" s="61"/>
      <c r="N173" s="18"/>
      <c r="O173" s="84" t="s">
        <v>444</v>
      </c>
      <c r="P173" s="444">
        <f>+AFIRMACIONES!C7</f>
        <v>0</v>
      </c>
      <c r="Q173" s="368"/>
      <c r="R173" s="368"/>
      <c r="S173" s="368"/>
      <c r="T173" s="433"/>
      <c r="X173" s="61"/>
      <c r="AB173" s="68"/>
      <c r="AD173" s="18"/>
      <c r="AG173" s="45"/>
      <c r="AH173" s="57"/>
      <c r="AI173" s="57"/>
    </row>
    <row r="174" spans="2:35" ht="12.75" customHeight="1" x14ac:dyDescent="0.25">
      <c r="B174" s="89">
        <f t="shared" ref="B174:J174" si="3">+G108</f>
        <v>0</v>
      </c>
      <c r="C174" s="89">
        <f t="shared" si="3"/>
        <v>0</v>
      </c>
      <c r="D174" s="89">
        <f t="shared" si="3"/>
        <v>0</v>
      </c>
      <c r="E174" s="89">
        <f t="shared" si="3"/>
        <v>0</v>
      </c>
      <c r="F174" s="89">
        <f t="shared" si="3"/>
        <v>0</v>
      </c>
      <c r="G174" s="89">
        <f t="shared" si="3"/>
        <v>0</v>
      </c>
      <c r="H174" s="89">
        <f t="shared" si="3"/>
        <v>0</v>
      </c>
      <c r="I174" s="89">
        <f t="shared" si="3"/>
        <v>0</v>
      </c>
      <c r="J174" s="89">
        <f t="shared" si="3"/>
        <v>0</v>
      </c>
      <c r="M174" s="61"/>
      <c r="N174" s="18"/>
      <c r="O174" s="84" t="s">
        <v>445</v>
      </c>
      <c r="P174" s="444">
        <f>+AFIRMACIONES!C8</f>
        <v>0</v>
      </c>
      <c r="Q174" s="368"/>
      <c r="R174" s="368"/>
      <c r="S174" s="368"/>
      <c r="T174" s="433"/>
      <c r="X174" s="61"/>
      <c r="AB174" s="68"/>
      <c r="AD174" s="18"/>
      <c r="AG174" s="45"/>
      <c r="AH174" s="57"/>
      <c r="AI174" s="57"/>
    </row>
    <row r="175" spans="2:35" ht="12.75" customHeight="1" x14ac:dyDescent="0.25">
      <c r="B175" s="561" t="s">
        <v>446</v>
      </c>
      <c r="C175" s="399"/>
      <c r="D175" s="90">
        <f>SUM(B174:J174)/261</f>
        <v>0</v>
      </c>
      <c r="E175" s="447" t="str">
        <f>IF(D175&lt;0.2,"NO SE PUEDE HACER EL ANÁLISIS",IF(D175&gt;0.3,"NO TIENES PROBLEMAS EN MOSTRARTE","TE CUESTA MOSTRARTE"))</f>
        <v>NO SE PUEDE HACER EL ANÁLISIS</v>
      </c>
      <c r="F175" s="398"/>
      <c r="G175" s="398"/>
      <c r="H175" s="398"/>
      <c r="I175" s="398"/>
      <c r="J175" s="399"/>
      <c r="M175" s="61"/>
      <c r="N175" s="18"/>
      <c r="O175" s="84" t="s">
        <v>447</v>
      </c>
      <c r="P175" s="444">
        <f>+AFIRMACIONES!C9</f>
        <v>0</v>
      </c>
      <c r="Q175" s="368"/>
      <c r="R175" s="368"/>
      <c r="S175" s="368"/>
      <c r="T175" s="433"/>
      <c r="X175" s="61"/>
      <c r="AB175" s="68"/>
      <c r="AD175" s="18"/>
      <c r="AG175" s="45"/>
      <c r="AH175" s="57"/>
      <c r="AI175" s="57"/>
    </row>
    <row r="176" spans="2:35" ht="12.75" customHeight="1" x14ac:dyDescent="0.3">
      <c r="B176" s="61"/>
      <c r="F176" s="435" t="s">
        <v>439</v>
      </c>
      <c r="G176" s="436"/>
      <c r="H176" s="91">
        <f>(MAX($B$174:$J$174)+MIN($B$174:$J$174))/2</f>
        <v>0</v>
      </c>
      <c r="M176" s="61"/>
      <c r="O176" s="84" t="s">
        <v>448</v>
      </c>
      <c r="P176" s="543" t="e">
        <f>+VLOOKUP(1,AFIRMACIONES!$C$10:$D$21,2,FALSE)</f>
        <v>#N/A</v>
      </c>
      <c r="Q176" s="544"/>
      <c r="R176" s="308"/>
      <c r="S176" s="309" t="e">
        <f>+VLOOKUP(1,AFIRMACIONES!$N$10:$O$21,2,FALSE)</f>
        <v>#N/A</v>
      </c>
      <c r="T176" s="74"/>
      <c r="X176" s="61"/>
      <c r="AB176" s="68"/>
      <c r="AD176" s="18"/>
      <c r="AG176" s="45"/>
      <c r="AH176" s="57"/>
      <c r="AI176" s="57"/>
    </row>
    <row r="177" spans="2:38" ht="12.75" customHeight="1" x14ac:dyDescent="0.25">
      <c r="B177" s="562" t="s">
        <v>544</v>
      </c>
      <c r="C177" s="374"/>
      <c r="D177" s="374"/>
      <c r="E177" s="374"/>
      <c r="F177" s="374"/>
      <c r="G177" s="407"/>
      <c r="H177" s="92">
        <f>COUNTIF(B174:J174,"&gt;"&amp;H176)</f>
        <v>0</v>
      </c>
      <c r="J177" s="71"/>
      <c r="M177" s="61"/>
      <c r="T177" s="61"/>
      <c r="X177" s="61"/>
      <c r="AB177" s="68"/>
      <c r="AD177" s="18"/>
      <c r="AG177" s="45"/>
      <c r="AH177" s="57"/>
      <c r="AI177" s="57"/>
      <c r="AK177" s="70"/>
      <c r="AL177" s="71"/>
    </row>
    <row r="178" spans="2:38" ht="12.75" customHeight="1" x14ac:dyDescent="0.25">
      <c r="B178" s="563" t="s">
        <v>545</v>
      </c>
      <c r="C178" s="361"/>
      <c r="D178" s="361"/>
      <c r="E178" s="361"/>
      <c r="F178" s="361"/>
      <c r="G178" s="388"/>
      <c r="H178" s="93">
        <f>COUNTIF(B174:J174,"="&amp;H176)</f>
        <v>9</v>
      </c>
      <c r="L178" s="340"/>
      <c r="M178" s="569"/>
      <c r="N178" s="446"/>
      <c r="O178" s="446"/>
      <c r="P178" s="446"/>
      <c r="Q178" s="446"/>
      <c r="R178" s="446"/>
      <c r="S178" s="446"/>
      <c r="T178" s="69"/>
      <c r="X178" s="61"/>
      <c r="AB178" s="68"/>
      <c r="AD178" s="18"/>
      <c r="AG178" s="45"/>
      <c r="AH178" s="57"/>
      <c r="AI178" s="57"/>
      <c r="AK178" s="70"/>
      <c r="AL178" s="71"/>
    </row>
    <row r="179" spans="2:38" ht="16.5" customHeight="1" x14ac:dyDescent="0.25">
      <c r="B179" s="564" t="s">
        <v>546</v>
      </c>
      <c r="C179" s="377"/>
      <c r="D179" s="377"/>
      <c r="E179" s="377"/>
      <c r="F179" s="377"/>
      <c r="G179" s="440"/>
      <c r="H179" s="92">
        <f>COUNTIF(B174:J174,"&lt;"&amp;H176)</f>
        <v>0</v>
      </c>
      <c r="K179" s="71"/>
      <c r="L179" s="570" t="s">
        <v>547</v>
      </c>
      <c r="M179" s="449"/>
      <c r="N179" s="449"/>
      <c r="O179" s="449"/>
      <c r="P179" s="449"/>
      <c r="Q179" s="449"/>
      <c r="R179" s="449"/>
      <c r="S179" s="449"/>
      <c r="T179" s="391"/>
      <c r="U179" s="71"/>
      <c r="X179" s="61"/>
      <c r="AB179" s="68"/>
      <c r="AD179" s="18"/>
      <c r="AG179" s="45"/>
      <c r="AH179" s="57"/>
      <c r="AI179" s="57"/>
      <c r="AK179" s="70"/>
      <c r="AL179" s="71"/>
    </row>
    <row r="180" spans="2:38" ht="12.75" customHeight="1" x14ac:dyDescent="0.3">
      <c r="B180" s="565" t="s">
        <v>455</v>
      </c>
      <c r="C180" s="374"/>
      <c r="D180" s="374"/>
      <c r="E180" s="374"/>
      <c r="F180" s="374"/>
      <c r="G180" s="374"/>
      <c r="H180" s="374"/>
      <c r="I180" s="374"/>
      <c r="J180" s="375"/>
      <c r="K180" s="71"/>
      <c r="L180" s="482"/>
      <c r="M180" s="446"/>
      <c r="N180" s="446"/>
      <c r="O180" s="446"/>
      <c r="P180" s="446"/>
      <c r="Q180" s="446"/>
      <c r="R180" s="446"/>
      <c r="S180" s="446"/>
      <c r="T180" s="393"/>
      <c r="U180" s="71"/>
      <c r="X180" s="61"/>
      <c r="AB180" s="68"/>
      <c r="AD180" s="18"/>
      <c r="AG180" s="45"/>
      <c r="AH180" s="57"/>
      <c r="AI180" s="57"/>
      <c r="AK180" s="70"/>
      <c r="AL180" s="71"/>
    </row>
    <row r="181" spans="2:38" ht="12.75" customHeight="1" x14ac:dyDescent="0.25">
      <c r="B181" s="341">
        <v>1</v>
      </c>
      <c r="C181" s="342">
        <v>2</v>
      </c>
      <c r="D181" s="342">
        <v>3</v>
      </c>
      <c r="E181" s="342">
        <v>4</v>
      </c>
      <c r="F181" s="342">
        <v>5</v>
      </c>
      <c r="G181" s="342">
        <v>6</v>
      </c>
      <c r="H181" s="342">
        <v>7</v>
      </c>
      <c r="I181" s="342">
        <v>8</v>
      </c>
      <c r="J181" s="343">
        <v>9</v>
      </c>
      <c r="K181" s="71"/>
      <c r="L181" s="482"/>
      <c r="M181" s="446"/>
      <c r="N181" s="446"/>
      <c r="O181" s="446"/>
      <c r="P181" s="446"/>
      <c r="Q181" s="446"/>
      <c r="R181" s="446"/>
      <c r="S181" s="446"/>
      <c r="T181" s="393"/>
      <c r="U181" s="71"/>
      <c r="X181" s="61"/>
      <c r="AB181" s="68"/>
      <c r="AD181" s="18"/>
      <c r="AG181" s="45"/>
      <c r="AH181" s="57"/>
      <c r="AI181" s="57"/>
      <c r="AK181" s="70"/>
      <c r="AL181" s="71"/>
    </row>
    <row r="182" spans="2:38" ht="12.75" customHeight="1" x14ac:dyDescent="0.3">
      <c r="B182" s="99" t="str">
        <f t="shared" ref="B182:J182" si="4">+IF(B174=$H$176,"Igual",IF(B174&lt;$H$176,"Bajo","Sobre"))</f>
        <v>Igual</v>
      </c>
      <c r="C182" s="100" t="str">
        <f t="shared" si="4"/>
        <v>Igual</v>
      </c>
      <c r="D182" s="100" t="str">
        <f t="shared" si="4"/>
        <v>Igual</v>
      </c>
      <c r="E182" s="100" t="str">
        <f t="shared" si="4"/>
        <v>Igual</v>
      </c>
      <c r="F182" s="100" t="str">
        <f t="shared" si="4"/>
        <v>Igual</v>
      </c>
      <c r="G182" s="100" t="str">
        <f t="shared" si="4"/>
        <v>Igual</v>
      </c>
      <c r="H182" s="100" t="str">
        <f t="shared" si="4"/>
        <v>Igual</v>
      </c>
      <c r="I182" s="100" t="str">
        <f t="shared" si="4"/>
        <v>Igual</v>
      </c>
      <c r="J182" s="101" t="str">
        <f t="shared" si="4"/>
        <v>Igual</v>
      </c>
      <c r="K182" s="71"/>
      <c r="L182" s="482"/>
      <c r="M182" s="446"/>
      <c r="N182" s="446"/>
      <c r="O182" s="446"/>
      <c r="P182" s="446"/>
      <c r="Q182" s="446"/>
      <c r="R182" s="446"/>
      <c r="S182" s="446"/>
      <c r="T182" s="393"/>
      <c r="U182" s="102"/>
      <c r="X182" s="61"/>
      <c r="AB182" s="68"/>
      <c r="AD182" s="18"/>
      <c r="AG182" s="45"/>
      <c r="AH182" s="57"/>
      <c r="AI182" s="57"/>
      <c r="AK182" s="70"/>
      <c r="AL182" s="71"/>
    </row>
    <row r="183" spans="2:38" ht="12.75" customHeight="1" x14ac:dyDescent="0.3">
      <c r="B183" s="103">
        <f t="shared" ref="B183:J183" si="5">+B174-$H$176</f>
        <v>0</v>
      </c>
      <c r="C183" s="104">
        <f t="shared" si="5"/>
        <v>0</v>
      </c>
      <c r="D183" s="104">
        <f t="shared" si="5"/>
        <v>0</v>
      </c>
      <c r="E183" s="104">
        <f t="shared" si="5"/>
        <v>0</v>
      </c>
      <c r="F183" s="104">
        <f t="shared" si="5"/>
        <v>0</v>
      </c>
      <c r="G183" s="104">
        <f t="shared" si="5"/>
        <v>0</v>
      </c>
      <c r="H183" s="104">
        <f t="shared" si="5"/>
        <v>0</v>
      </c>
      <c r="I183" s="104">
        <f t="shared" si="5"/>
        <v>0</v>
      </c>
      <c r="J183" s="105">
        <f t="shared" si="5"/>
        <v>0</v>
      </c>
      <c r="K183" s="71"/>
      <c r="L183" s="482"/>
      <c r="M183" s="446"/>
      <c r="N183" s="446"/>
      <c r="O183" s="446"/>
      <c r="P183" s="446"/>
      <c r="Q183" s="446"/>
      <c r="R183" s="446"/>
      <c r="S183" s="446"/>
      <c r="T183" s="393"/>
      <c r="U183" s="102"/>
      <c r="X183" s="61"/>
      <c r="AB183" s="68"/>
      <c r="AD183" s="18"/>
      <c r="AG183" s="45"/>
      <c r="AH183" s="57"/>
      <c r="AI183" s="57"/>
      <c r="AK183" s="70"/>
      <c r="AL183" s="71"/>
    </row>
    <row r="184" spans="2:38" ht="12.75" customHeight="1" x14ac:dyDescent="0.25">
      <c r="B184" s="566" t="s">
        <v>456</v>
      </c>
      <c r="C184" s="371"/>
      <c r="D184" s="463"/>
      <c r="E184" s="106">
        <f>MAX(B174:J174)-MIN(B174:J174)</f>
        <v>0</v>
      </c>
      <c r="K184" s="71"/>
      <c r="L184" s="482"/>
      <c r="M184" s="446"/>
      <c r="N184" s="446"/>
      <c r="O184" s="446"/>
      <c r="P184" s="446"/>
      <c r="Q184" s="446"/>
      <c r="R184" s="446"/>
      <c r="S184" s="446"/>
      <c r="T184" s="393"/>
      <c r="U184" s="71"/>
      <c r="X184" s="61"/>
      <c r="AB184" s="68"/>
      <c r="AD184" s="18"/>
      <c r="AG184" s="45"/>
      <c r="AH184" s="57"/>
      <c r="AI184" s="59"/>
      <c r="AJ184" s="71"/>
      <c r="AK184" s="75"/>
      <c r="AL184" s="71"/>
    </row>
    <row r="185" spans="2:38" ht="12.75" customHeight="1" x14ac:dyDescent="0.3">
      <c r="B185" s="61"/>
      <c r="K185" s="71"/>
      <c r="L185" s="450"/>
      <c r="M185" s="451"/>
      <c r="N185" s="451"/>
      <c r="O185" s="451"/>
      <c r="P185" s="451"/>
      <c r="Q185" s="451"/>
      <c r="R185" s="451"/>
      <c r="S185" s="451"/>
      <c r="T185" s="452"/>
      <c r="U185" s="102"/>
      <c r="X185" s="61"/>
      <c r="AB185" s="68"/>
      <c r="AD185" s="18"/>
      <c r="AG185" s="45"/>
      <c r="AH185" s="57"/>
      <c r="AI185" s="59"/>
      <c r="AJ185" s="71"/>
    </row>
    <row r="186" spans="2:38" ht="12.75" customHeight="1" x14ac:dyDescent="0.3">
      <c r="B186" s="61"/>
      <c r="K186" s="71"/>
      <c r="L186" s="111"/>
      <c r="M186" s="480"/>
      <c r="N186" s="446"/>
      <c r="O186" s="446"/>
      <c r="P186" s="571"/>
      <c r="Q186" s="446"/>
      <c r="R186" s="446"/>
      <c r="S186" s="446"/>
      <c r="T186" s="344"/>
      <c r="U186" s="102"/>
      <c r="X186" s="61"/>
      <c r="AB186" s="68"/>
      <c r="AD186" s="18"/>
      <c r="AG186" s="45"/>
      <c r="AH186" s="57"/>
      <c r="AI186" s="57"/>
    </row>
    <row r="187" spans="2:38" ht="12.75" customHeight="1" x14ac:dyDescent="0.3">
      <c r="B187" s="61"/>
      <c r="K187" s="71"/>
      <c r="L187" s="111"/>
      <c r="M187" s="480"/>
      <c r="N187" s="446"/>
      <c r="O187" s="446"/>
      <c r="P187" s="572"/>
      <c r="Q187" s="446"/>
      <c r="R187" s="446"/>
      <c r="S187" s="446"/>
      <c r="T187" s="345"/>
      <c r="U187" s="102"/>
      <c r="X187" s="61"/>
      <c r="AB187" s="68"/>
      <c r="AD187" s="18"/>
      <c r="AG187" s="45"/>
      <c r="AH187" s="57"/>
      <c r="AI187" s="57"/>
    </row>
    <row r="188" spans="2:38" ht="12.75" customHeight="1" x14ac:dyDescent="0.25">
      <c r="B188" s="61"/>
      <c r="K188" s="71"/>
      <c r="M188" s="61"/>
      <c r="U188" s="71"/>
      <c r="X188" s="61"/>
      <c r="AB188" s="68"/>
      <c r="AD188" s="18"/>
      <c r="AG188" s="45"/>
      <c r="AH188" s="57"/>
      <c r="AI188" s="57"/>
    </row>
    <row r="189" spans="2:38" ht="12.75" customHeight="1" x14ac:dyDescent="0.3">
      <c r="B189" s="61"/>
      <c r="K189" s="71"/>
      <c r="M189" s="61"/>
      <c r="U189" s="102"/>
      <c r="X189" s="61"/>
      <c r="AB189" s="68"/>
      <c r="AD189" s="18"/>
      <c r="AG189" s="45"/>
      <c r="AH189" s="57"/>
      <c r="AI189" s="59"/>
      <c r="AJ189" s="71"/>
    </row>
    <row r="190" spans="2:38" ht="12.75" customHeight="1" x14ac:dyDescent="0.25">
      <c r="B190" s="61"/>
      <c r="K190" s="70"/>
      <c r="L190" s="573" t="s">
        <v>460</v>
      </c>
      <c r="M190" s="374"/>
      <c r="N190" s="374"/>
      <c r="O190" s="374"/>
      <c r="P190" s="374"/>
      <c r="Q190" s="374"/>
      <c r="R190" s="374"/>
      <c r="S190" s="374"/>
      <c r="T190" s="375"/>
      <c r="U190" s="71"/>
      <c r="X190" s="61"/>
      <c r="AB190" s="68"/>
      <c r="AD190" s="18"/>
      <c r="AG190" s="45"/>
      <c r="AH190" s="57"/>
      <c r="AI190" s="59"/>
      <c r="AJ190" s="71"/>
    </row>
    <row r="191" spans="2:38" ht="12.75" customHeight="1" x14ac:dyDescent="0.25">
      <c r="B191" s="111"/>
      <c r="C191" s="111"/>
      <c r="D191" s="111"/>
      <c r="E191" s="111"/>
      <c r="F191" s="111"/>
      <c r="G191" s="111"/>
      <c r="H191" s="111"/>
      <c r="I191" s="111"/>
      <c r="J191" s="111"/>
      <c r="K191" s="112"/>
      <c r="L191" s="346">
        <v>4</v>
      </c>
      <c r="M191" s="347">
        <v>5</v>
      </c>
      <c r="N191" s="347">
        <v>3</v>
      </c>
      <c r="O191" s="347">
        <v>6</v>
      </c>
      <c r="P191" s="347">
        <v>2</v>
      </c>
      <c r="Q191" s="347">
        <v>7</v>
      </c>
      <c r="R191" s="347">
        <v>1</v>
      </c>
      <c r="S191" s="347">
        <v>8</v>
      </c>
      <c r="T191" s="348">
        <v>9</v>
      </c>
      <c r="U191" s="116"/>
      <c r="W191" s="18"/>
      <c r="X191" s="61"/>
      <c r="AB191" s="68"/>
      <c r="AD191" s="18"/>
      <c r="AG191" s="45"/>
      <c r="AH191" s="57"/>
      <c r="AI191" s="59"/>
      <c r="AJ191" s="71"/>
    </row>
    <row r="192" spans="2:38" ht="12.75" customHeight="1" x14ac:dyDescent="0.25">
      <c r="B192" s="111"/>
      <c r="C192" s="111"/>
      <c r="D192" s="111"/>
      <c r="E192" s="111"/>
      <c r="F192" s="111"/>
      <c r="G192" s="111"/>
      <c r="H192" s="111"/>
      <c r="I192" s="111"/>
      <c r="J192" s="111"/>
      <c r="K192" s="112"/>
      <c r="L192" s="117">
        <f t="shared" ref="L192:M192" si="6">+E174</f>
        <v>0</v>
      </c>
      <c r="M192" s="118">
        <f t="shared" si="6"/>
        <v>0</v>
      </c>
      <c r="N192" s="118">
        <f>+D174</f>
        <v>0</v>
      </c>
      <c r="O192" s="118">
        <f>+G174</f>
        <v>0</v>
      </c>
      <c r="P192" s="118">
        <f>+C174</f>
        <v>0</v>
      </c>
      <c r="Q192" s="118">
        <f>+H174</f>
        <v>0</v>
      </c>
      <c r="R192" s="118">
        <f>+B174</f>
        <v>0</v>
      </c>
      <c r="S192" s="118">
        <f t="shared" ref="S192:T192" si="7">+I174</f>
        <v>0</v>
      </c>
      <c r="T192" s="119">
        <f t="shared" si="7"/>
        <v>0</v>
      </c>
      <c r="U192" s="71"/>
      <c r="W192" s="18"/>
      <c r="X192" s="61"/>
      <c r="AB192" s="68"/>
      <c r="AD192" s="18"/>
      <c r="AG192" s="45"/>
      <c r="AH192" s="57"/>
      <c r="AI192" s="59"/>
      <c r="AJ192" s="71"/>
    </row>
    <row r="193" spans="2:38" ht="12.75" customHeight="1" x14ac:dyDescent="0.25"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574" t="s">
        <v>461</v>
      </c>
      <c r="M193" s="470"/>
      <c r="N193" s="575" t="s">
        <v>462</v>
      </c>
      <c r="O193" s="470"/>
      <c r="P193" s="575" t="s">
        <v>463</v>
      </c>
      <c r="Q193" s="470"/>
      <c r="R193" s="575" t="s">
        <v>464</v>
      </c>
      <c r="S193" s="470"/>
      <c r="T193" s="349" t="s">
        <v>465</v>
      </c>
      <c r="U193" s="71"/>
      <c r="X193" s="61"/>
      <c r="AB193" s="68"/>
      <c r="AD193" s="18"/>
      <c r="AG193" s="45"/>
      <c r="AH193" s="57"/>
      <c r="AI193" s="59"/>
      <c r="AJ193" s="71"/>
    </row>
    <row r="194" spans="2:38" ht="17.25" customHeight="1" x14ac:dyDescent="0.25"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490" t="str">
        <f>+IF(AND((L192-M192)&lt;=$AG$84,(L192-M192)&gt;=-$AG$84),"EJE","NO")</f>
        <v>EJE</v>
      </c>
      <c r="M194" s="470"/>
      <c r="N194" s="491" t="str">
        <f>+IF(AND((N192-O192)&lt;=$AG$84,(N192-O192)&gt;=-$AG$84),"EJE","NO")</f>
        <v>EJE</v>
      </c>
      <c r="O194" s="470"/>
      <c r="P194" s="491" t="str">
        <f>+IF(AND((P192-Q192)&lt;=$AG$84,(P192-Q192)&gt;=-$AG$84),"EJE","NO")</f>
        <v>EJE</v>
      </c>
      <c r="Q194" s="470"/>
      <c r="R194" s="491" t="str">
        <f>+IF(AND((R192-S192)&lt;=$AG$84,(R192-S192)&gt;=-$AG$84),"EJE","NO")</f>
        <v>EJE</v>
      </c>
      <c r="S194" s="470"/>
      <c r="T194" s="121" t="s">
        <v>466</v>
      </c>
      <c r="U194" s="71"/>
      <c r="X194" s="61"/>
      <c r="AB194" s="68"/>
      <c r="AD194" s="18"/>
      <c r="AG194" s="45"/>
      <c r="AH194" s="57"/>
      <c r="AI194" s="59"/>
      <c r="AJ194" s="71"/>
    </row>
    <row r="195" spans="2:38" ht="17.25" customHeight="1" x14ac:dyDescent="0.25">
      <c r="B195" s="558" t="s">
        <v>467</v>
      </c>
      <c r="C195" s="398"/>
      <c r="D195" s="398"/>
      <c r="E195" s="398"/>
      <c r="F195" s="398"/>
      <c r="G195" s="398"/>
      <c r="H195" s="398"/>
      <c r="I195" s="398"/>
      <c r="J195" s="399"/>
      <c r="K195" s="111"/>
      <c r="L195" s="493" t="str">
        <f>IF(L194="EJE",(+IF(AND((L192-$H$176)&gt;=0,(M192-$H$176)&gt;=0,((L192-$H$176)+(M192-$H$176))&gt;0),"SOBRE LA MEDIA",(IF(AND((L192-$H$176)&lt;=0,(M192-$H$176)&lt;=0,((L192-$H$176)+(M192-$H$176))&lt;0),"BAJO LA MEDIA","EN LA MEDIA")))),"HAY EJE")</f>
        <v>EN LA MEDIA</v>
      </c>
      <c r="M195" s="452"/>
      <c r="N195" s="494" t="str">
        <f>IF(N194="EJE",(+IF(AND((N192-$H$176)&gt;=0,(O192-$H$176)&gt;=0,((N192-$H$176)+(O192-$H$176))&gt;0),"SOBRE LA MEDIA",(IF(AND((N192-$H$176)&lt;=0,(O192-$H$176)&lt;=0,((N192-$H$176)+(O192-$H$176))&lt;0),"BAJO LA MEDIA","EN LA MEDIA")))),"HAY EJE")</f>
        <v>EN LA MEDIA</v>
      </c>
      <c r="O195" s="452"/>
      <c r="P195" s="494" t="str">
        <f>IF(P194="EJE",(+IF(AND((P192-$H$176)&gt;=0,(Q192-$H$176)&gt;=0,((P192-$H$176)+(Q192-$H$176))&gt;0),"SOBRE LA MEDIA",(IF(AND((P192-$H$176)&lt;=0,(Q192-$H$176)&lt;=0,((P192-$H$176)+(Q192-$H$176))&lt;0),"BAJO LA MEDIA","EN LA MEDIA")))),"HAY EJE")</f>
        <v>EN LA MEDIA</v>
      </c>
      <c r="Q195" s="452"/>
      <c r="R195" s="494" t="str">
        <f>IF(R194="EJE",(+IF(AND((R192-$H$176)&gt;=0,(S192-$H$176)&gt;=0,((R192-$H$176)+(S192-$H$176))&gt;0),"SOBRE LA MEDIA",(IF(AND((R192-$H$176)&lt;=0,(S192-$H$176)&lt;=0,((R192-$H$176)+(S192-$H$176))&lt;0),"BAJO LA MEDIA","EN LA MEDIA")))),"HAY EJE")</f>
        <v>EN LA MEDIA</v>
      </c>
      <c r="S195" s="452"/>
      <c r="T195" s="122" t="str">
        <f>IF(T192&lt;$H$176,"BAJO","ALTO")</f>
        <v>ALTO</v>
      </c>
      <c r="U195" s="71"/>
      <c r="X195" s="61"/>
      <c r="AB195" s="68"/>
      <c r="AD195" s="18"/>
      <c r="AG195" s="45"/>
      <c r="AH195" s="57"/>
      <c r="AI195" s="59"/>
      <c r="AJ195" s="71"/>
    </row>
    <row r="196" spans="2:38" ht="17.25" customHeight="1" x14ac:dyDescent="0.25">
      <c r="B196" s="350">
        <v>1</v>
      </c>
      <c r="C196" s="351">
        <v>5</v>
      </c>
      <c r="D196" s="350">
        <v>2</v>
      </c>
      <c r="E196" s="351">
        <v>6</v>
      </c>
      <c r="F196" s="350">
        <v>3</v>
      </c>
      <c r="G196" s="351">
        <v>7</v>
      </c>
      <c r="H196" s="350">
        <v>4</v>
      </c>
      <c r="I196" s="352">
        <v>8</v>
      </c>
      <c r="J196" s="353">
        <v>9</v>
      </c>
      <c r="K196" s="111"/>
      <c r="L196" s="576" t="s">
        <v>468</v>
      </c>
      <c r="M196" s="449"/>
      <c r="N196" s="449"/>
      <c r="O196" s="449"/>
      <c r="P196" s="449"/>
      <c r="Q196" s="449"/>
      <c r="R196" s="449"/>
      <c r="S196" s="449"/>
      <c r="T196" s="496"/>
      <c r="U196" s="69"/>
      <c r="X196" s="111"/>
      <c r="AB196" s="68"/>
      <c r="AD196" s="18"/>
      <c r="AG196" s="45"/>
      <c r="AH196" s="57"/>
      <c r="AI196" s="4"/>
      <c r="AJ196" s="71"/>
    </row>
    <row r="197" spans="2:38" ht="17.25" customHeight="1" x14ac:dyDescent="0.25">
      <c r="B197" s="126">
        <f>+B174</f>
        <v>0</v>
      </c>
      <c r="C197" s="127">
        <f>+F174</f>
        <v>0</v>
      </c>
      <c r="D197" s="126">
        <f>+C174</f>
        <v>0</v>
      </c>
      <c r="E197" s="127">
        <f>+G174</f>
        <v>0</v>
      </c>
      <c r="F197" s="126">
        <f>+D174</f>
        <v>0</v>
      </c>
      <c r="G197" s="127">
        <f>+H174</f>
        <v>0</v>
      </c>
      <c r="H197" s="126">
        <f>+E174</f>
        <v>0</v>
      </c>
      <c r="I197" s="128">
        <f t="shared" ref="I197:J197" si="8">+I174</f>
        <v>0</v>
      </c>
      <c r="J197" s="498">
        <f t="shared" si="8"/>
        <v>0</v>
      </c>
      <c r="K197" s="111"/>
      <c r="L197" s="392"/>
      <c r="M197" s="446"/>
      <c r="N197" s="446"/>
      <c r="O197" s="446"/>
      <c r="P197" s="446"/>
      <c r="Q197" s="446"/>
      <c r="R197" s="446"/>
      <c r="S197" s="446"/>
      <c r="T197" s="497"/>
      <c r="U197" s="71"/>
      <c r="X197" s="111"/>
      <c r="AB197" s="68"/>
      <c r="AD197" s="18"/>
      <c r="AG197" s="45"/>
      <c r="AH197" s="57"/>
      <c r="AI197" s="57"/>
      <c r="AJ197" s="71"/>
    </row>
    <row r="198" spans="2:38" ht="17.25" customHeight="1" x14ac:dyDescent="0.25">
      <c r="B198" s="500">
        <f>(+B174+F174)/2</f>
        <v>0</v>
      </c>
      <c r="C198" s="362"/>
      <c r="D198" s="500">
        <f>(+C174+G174)/2</f>
        <v>0</v>
      </c>
      <c r="E198" s="362"/>
      <c r="F198" s="500">
        <f>(+D174+H174)/2</f>
        <v>0</v>
      </c>
      <c r="G198" s="362"/>
      <c r="H198" s="500">
        <f>(+E174+I174)/2</f>
        <v>0</v>
      </c>
      <c r="I198" s="362"/>
      <c r="J198" s="499"/>
      <c r="K198" s="111"/>
      <c r="L198" s="394"/>
      <c r="M198" s="429"/>
      <c r="N198" s="429"/>
      <c r="O198" s="429"/>
      <c r="P198" s="429"/>
      <c r="Q198" s="429"/>
      <c r="R198" s="429"/>
      <c r="S198" s="429"/>
      <c r="T198" s="430"/>
      <c r="U198" s="71"/>
      <c r="X198" s="129"/>
      <c r="AB198" s="68"/>
      <c r="AD198" s="18"/>
      <c r="AG198" s="45"/>
      <c r="AH198" s="57"/>
      <c r="AI198" s="57"/>
      <c r="AJ198" s="71"/>
    </row>
    <row r="199" spans="2:38" ht="17.25" customHeight="1" x14ac:dyDescent="0.25">
      <c r="B199" s="501" t="s">
        <v>548</v>
      </c>
      <c r="C199" s="378"/>
      <c r="D199" s="502" t="s">
        <v>549</v>
      </c>
      <c r="E199" s="378"/>
      <c r="F199" s="503" t="s">
        <v>550</v>
      </c>
      <c r="G199" s="378"/>
      <c r="H199" s="504" t="s">
        <v>551</v>
      </c>
      <c r="I199" s="378"/>
      <c r="J199" s="130" t="s">
        <v>473</v>
      </c>
      <c r="K199" s="138"/>
      <c r="M199" s="61"/>
      <c r="N199" s="354"/>
      <c r="U199" s="71"/>
      <c r="X199" s="61"/>
      <c r="AB199" s="68"/>
      <c r="AD199" s="18"/>
      <c r="AG199" s="45"/>
      <c r="AH199" s="57"/>
      <c r="AI199" s="57"/>
    </row>
    <row r="200" spans="2:38" ht="17.25" customHeight="1" x14ac:dyDescent="0.25">
      <c r="B200" s="505" t="str">
        <f>IF(B198=MIN($B$198:$I$198),"Eje más bajo",IF(B198=MAX($B198:$I198),"Eje más alto","Eje"))</f>
        <v>Eje más bajo</v>
      </c>
      <c r="C200" s="366"/>
      <c r="D200" s="505" t="str">
        <f>IF(D198=MIN($B$198:$I$198),"Eje más bajo",IF(D198=MAX($B198:$I198),"Eje más alto","Eje"))</f>
        <v>Eje más bajo</v>
      </c>
      <c r="E200" s="366"/>
      <c r="F200" s="505" t="str">
        <f>IF(F198=MIN($B$198:$I$198),"Eje más bajo",IF(F198=MAX($B198:$I198),"Eje más alto","Eje"))</f>
        <v>Eje más bajo</v>
      </c>
      <c r="G200" s="366"/>
      <c r="H200" s="505" t="str">
        <f>IF(H198=MIN($B$198:$I$198),"Eje más bajo",IF(H198=MAX($B198:$I198),"Eje más alto","Eje"))</f>
        <v>Eje más bajo</v>
      </c>
      <c r="I200" s="517"/>
      <c r="J200" s="518" t="str">
        <f>IF(J174&gt;H176,"Sobre Media","Bajo Media")</f>
        <v>Bajo Media</v>
      </c>
      <c r="K200" s="311"/>
      <c r="L200" s="488"/>
      <c r="M200" s="446"/>
      <c r="N200" s="111"/>
      <c r="O200" s="488"/>
      <c r="P200" s="446"/>
      <c r="U200" s="71"/>
      <c r="X200" s="61"/>
      <c r="AB200" s="68"/>
      <c r="AD200" s="18"/>
      <c r="AG200" s="45"/>
      <c r="AH200" s="57"/>
      <c r="AI200" s="18"/>
      <c r="AJ200" s="18"/>
      <c r="AK200" s="18"/>
      <c r="AL200" s="18"/>
    </row>
    <row r="201" spans="2:38" ht="17.25" customHeight="1" x14ac:dyDescent="0.25">
      <c r="B201" s="513" t="str">
        <f>IF(B198&gt;$H$176,"Sobre Media","Bajo Media")</f>
        <v>Bajo Media</v>
      </c>
      <c r="C201" s="372"/>
      <c r="D201" s="513" t="str">
        <f>IF(D198&gt;$H$176,"Sobre Media","Bajo Media")</f>
        <v>Bajo Media</v>
      </c>
      <c r="E201" s="372"/>
      <c r="F201" s="513" t="str">
        <f>IF(F198&gt;$H$176,"Sobre Media","Bajo Media")</f>
        <v>Bajo Media</v>
      </c>
      <c r="G201" s="372"/>
      <c r="H201" s="513" t="str">
        <f>IF(H198&gt;$H$176,"Sobre Media","Bajo Media")</f>
        <v>Bajo Media</v>
      </c>
      <c r="I201" s="436"/>
      <c r="J201" s="519"/>
      <c r="K201" s="134"/>
      <c r="L201" s="489"/>
      <c r="M201" s="446"/>
      <c r="O201" s="489"/>
      <c r="P201" s="446"/>
      <c r="Q201" s="577" t="s">
        <v>475</v>
      </c>
      <c r="R201" s="365"/>
      <c r="S201" s="365"/>
      <c r="T201" s="366"/>
      <c r="U201" s="71"/>
      <c r="X201" s="61"/>
      <c r="AB201" s="68"/>
      <c r="AD201" s="18"/>
      <c r="AG201" s="45"/>
      <c r="AH201" s="57"/>
      <c r="AI201" s="18"/>
      <c r="AJ201" s="18"/>
      <c r="AK201" s="18"/>
      <c r="AL201" s="18"/>
    </row>
    <row r="202" spans="2:38" ht="17.25" customHeight="1" x14ac:dyDescent="0.25">
      <c r="B202" s="559" t="s">
        <v>479</v>
      </c>
      <c r="C202" s="371"/>
      <c r="D202" s="463"/>
      <c r="E202" s="135">
        <f>MAX(B198:I198)</f>
        <v>0</v>
      </c>
      <c r="F202" s="111"/>
      <c r="G202" s="111"/>
      <c r="H202" s="111"/>
      <c r="I202" s="136"/>
      <c r="J202" s="111"/>
      <c r="K202" s="355"/>
      <c r="M202" s="61"/>
      <c r="N202" s="355"/>
      <c r="Q202" s="578" t="s">
        <v>478</v>
      </c>
      <c r="R202" s="398"/>
      <c r="S202" s="398"/>
      <c r="T202" s="399"/>
      <c r="U202" s="71"/>
      <c r="X202" s="61"/>
      <c r="AB202" s="68"/>
      <c r="AD202" s="18"/>
      <c r="AG202" s="45"/>
      <c r="AH202" s="57"/>
      <c r="AI202" s="18"/>
      <c r="AJ202" s="18"/>
      <c r="AK202" s="18"/>
      <c r="AL202" s="18"/>
    </row>
    <row r="203" spans="2:38" ht="17.25" customHeight="1" x14ac:dyDescent="0.25">
      <c r="B203" s="560" t="s">
        <v>482</v>
      </c>
      <c r="C203" s="398"/>
      <c r="D203" s="516"/>
      <c r="E203" s="127">
        <f>MIN(B198:I198)</f>
        <v>0</v>
      </c>
      <c r="F203" s="111"/>
      <c r="G203" s="111"/>
      <c r="H203" s="111"/>
      <c r="I203" s="111"/>
      <c r="J203" s="111"/>
      <c r="K203" s="550"/>
      <c r="L203" s="446"/>
      <c r="M203" s="446"/>
      <c r="N203" s="446"/>
      <c r="O203" s="446"/>
      <c r="P203" s="497"/>
      <c r="Q203" s="137" t="s">
        <v>453</v>
      </c>
      <c r="R203" s="522" t="s">
        <v>534</v>
      </c>
      <c r="S203" s="374"/>
      <c r="T203" s="375"/>
      <c r="X203" s="61"/>
      <c r="AB203" s="68"/>
      <c r="AD203" s="18"/>
      <c r="AG203" s="45"/>
      <c r="AH203" s="57"/>
      <c r="AI203" s="18"/>
      <c r="AJ203" s="18"/>
      <c r="AK203" s="18"/>
      <c r="AL203" s="18"/>
    </row>
    <row r="204" spans="2:38" ht="17.25" customHeight="1" x14ac:dyDescent="0.25">
      <c r="B204" s="560" t="s">
        <v>484</v>
      </c>
      <c r="C204" s="398"/>
      <c r="D204" s="516"/>
      <c r="E204" s="143">
        <f>+E202-E203</f>
        <v>0</v>
      </c>
      <c r="F204" s="506" t="str">
        <f>+IF(E204&lt;=3.5,"Trabajar un poco",IF(E204&gt;7,"Trabajar mucho","Trabajo moderado"))</f>
        <v>Trabajar un poco</v>
      </c>
      <c r="G204" s="398"/>
      <c r="H204" s="399"/>
      <c r="I204" s="144"/>
      <c r="J204" s="144"/>
      <c r="K204" s="548"/>
      <c r="L204" s="446"/>
      <c r="M204" s="446"/>
      <c r="N204" s="446"/>
      <c r="O204" s="446"/>
      <c r="P204" s="446"/>
      <c r="Q204" s="139">
        <v>2</v>
      </c>
      <c r="R204" s="140">
        <f>+C174</f>
        <v>0</v>
      </c>
      <c r="S204" s="141" t="s">
        <v>420</v>
      </c>
      <c r="T204" s="142">
        <f>SUM(R204:R206)</f>
        <v>0</v>
      </c>
      <c r="U204" s="71"/>
      <c r="X204" s="61"/>
      <c r="AB204" s="68"/>
      <c r="AD204" s="18"/>
      <c r="AG204" s="45"/>
      <c r="AH204" s="57"/>
      <c r="AI204" s="18"/>
      <c r="AJ204" s="18"/>
      <c r="AK204" s="18"/>
      <c r="AL204" s="18"/>
    </row>
    <row r="205" spans="2:38" ht="17.25" customHeight="1" x14ac:dyDescent="0.25">
      <c r="B205" s="558" t="s">
        <v>486</v>
      </c>
      <c r="C205" s="398"/>
      <c r="D205" s="398"/>
      <c r="E205" s="398"/>
      <c r="F205" s="398"/>
      <c r="G205" s="398"/>
      <c r="H205" s="398"/>
      <c r="I205" s="398"/>
      <c r="J205" s="398"/>
      <c r="K205" s="398"/>
      <c r="L205" s="399"/>
      <c r="M205" s="61"/>
      <c r="Q205" s="139">
        <v>3</v>
      </c>
      <c r="R205" s="140">
        <f>+D174</f>
        <v>0</v>
      </c>
      <c r="S205" s="145" t="s">
        <v>485</v>
      </c>
      <c r="T205" s="146" t="e">
        <f>+T204/$AI$82</f>
        <v>#DIV/0!</v>
      </c>
      <c r="X205" s="61"/>
      <c r="AB205" s="68"/>
      <c r="AC205" s="111"/>
      <c r="AD205" s="18"/>
      <c r="AG205" s="45"/>
      <c r="AH205" s="57"/>
      <c r="AI205" s="57"/>
      <c r="AJ205" s="18"/>
      <c r="AK205" s="18"/>
      <c r="AL205" s="18"/>
    </row>
    <row r="206" spans="2:38" ht="17.25" customHeight="1" x14ac:dyDescent="0.25">
      <c r="B206" s="151" t="s">
        <v>453</v>
      </c>
      <c r="C206" s="507" t="s">
        <v>488</v>
      </c>
      <c r="D206" s="374"/>
      <c r="E206" s="375"/>
      <c r="F206" s="152" t="s">
        <v>453</v>
      </c>
      <c r="G206" s="508" t="s">
        <v>489</v>
      </c>
      <c r="H206" s="374"/>
      <c r="I206" s="375"/>
      <c r="J206" s="509" t="s">
        <v>453</v>
      </c>
      <c r="K206" s="511" t="s">
        <v>552</v>
      </c>
      <c r="L206" s="427"/>
      <c r="M206" s="61"/>
      <c r="Q206" s="147">
        <v>4</v>
      </c>
      <c r="R206" s="148">
        <f>+E174</f>
        <v>0</v>
      </c>
      <c r="S206" s="149" t="s">
        <v>487</v>
      </c>
      <c r="T206" s="150" t="e">
        <f>IF(T205=MIN($T$205,$T$209,$T$213),"MENOR",IF(T205=MAX($T$205,$T$209,$T$213),"MAYOR","MEDIO"))</f>
        <v>#DIV/0!</v>
      </c>
      <c r="X206" s="61"/>
      <c r="AB206" s="68"/>
      <c r="AC206" s="111"/>
      <c r="AD206" s="18"/>
      <c r="AG206" s="45"/>
      <c r="AH206" s="57"/>
      <c r="AI206" s="57"/>
      <c r="AJ206" s="18"/>
      <c r="AK206" s="18"/>
      <c r="AL206" s="18"/>
    </row>
    <row r="207" spans="2:38" ht="17.25" customHeight="1" x14ac:dyDescent="0.25">
      <c r="B207" s="154">
        <v>1</v>
      </c>
      <c r="C207" s="155">
        <f>+B174</f>
        <v>0</v>
      </c>
      <c r="D207" s="156" t="s">
        <v>420</v>
      </c>
      <c r="E207" s="157">
        <f>SUM(C207:C210)</f>
        <v>0</v>
      </c>
      <c r="F207" s="158">
        <v>4</v>
      </c>
      <c r="G207" s="155">
        <f>+E174</f>
        <v>0</v>
      </c>
      <c r="H207" s="159" t="s">
        <v>420</v>
      </c>
      <c r="I207" s="160">
        <f>SUM(G207:G210)</f>
        <v>0</v>
      </c>
      <c r="J207" s="510"/>
      <c r="K207" s="450"/>
      <c r="L207" s="512"/>
      <c r="M207" s="61"/>
      <c r="Q207" s="153" t="s">
        <v>453</v>
      </c>
      <c r="R207" s="524" t="s">
        <v>536</v>
      </c>
      <c r="S207" s="374"/>
      <c r="T207" s="375"/>
      <c r="X207" s="61"/>
      <c r="AB207" s="68"/>
      <c r="AC207" s="111"/>
      <c r="AD207" s="18"/>
      <c r="AG207" s="45"/>
      <c r="AH207" s="57"/>
      <c r="AI207" s="57"/>
      <c r="AJ207" s="18"/>
      <c r="AK207" s="18"/>
      <c r="AL207" s="18"/>
    </row>
    <row r="208" spans="2:38" ht="17.25" customHeight="1" x14ac:dyDescent="0.25">
      <c r="B208" s="154">
        <v>2</v>
      </c>
      <c r="C208" s="155">
        <f>+C174</f>
        <v>0</v>
      </c>
      <c r="D208" s="163" t="s">
        <v>492</v>
      </c>
      <c r="E208" s="164">
        <f>+E207/4</f>
        <v>0</v>
      </c>
      <c r="F208" s="158">
        <v>5</v>
      </c>
      <c r="G208" s="155">
        <f>+F174</f>
        <v>0</v>
      </c>
      <c r="H208" s="165" t="s">
        <v>492</v>
      </c>
      <c r="I208" s="166">
        <f>+I207/4</f>
        <v>0</v>
      </c>
      <c r="J208" s="167">
        <v>9</v>
      </c>
      <c r="K208" s="168" t="s">
        <v>493</v>
      </c>
      <c r="L208" s="166">
        <f>+J174</f>
        <v>0</v>
      </c>
      <c r="M208" s="61"/>
      <c r="Q208" s="161">
        <v>5</v>
      </c>
      <c r="R208" s="140">
        <f>+F174</f>
        <v>0</v>
      </c>
      <c r="S208" s="162" t="s">
        <v>420</v>
      </c>
      <c r="T208" s="142">
        <f>SUM(R208:R210)</f>
        <v>0</v>
      </c>
      <c r="X208" s="61"/>
      <c r="AC208" s="581"/>
      <c r="AD208" s="446"/>
      <c r="AG208" s="45"/>
      <c r="AH208" s="57"/>
      <c r="AI208" s="57"/>
      <c r="AJ208" s="18"/>
      <c r="AK208" s="18"/>
      <c r="AL208" s="18"/>
    </row>
    <row r="209" spans="1:51" ht="17.25" customHeight="1" x14ac:dyDescent="0.25">
      <c r="B209" s="154">
        <v>3</v>
      </c>
      <c r="C209" s="157">
        <f>+D174</f>
        <v>0</v>
      </c>
      <c r="D209" s="170" t="s">
        <v>485</v>
      </c>
      <c r="E209" s="146" t="e">
        <f>+E208/(+$E$208+$I$208+$L$208)</f>
        <v>#DIV/0!</v>
      </c>
      <c r="F209" s="158">
        <v>6</v>
      </c>
      <c r="G209" s="128">
        <f>+G174</f>
        <v>0</v>
      </c>
      <c r="H209" s="172" t="s">
        <v>485</v>
      </c>
      <c r="I209" s="146" t="e">
        <f>+I208/(+$E$208+$I$208+$L$208)</f>
        <v>#DIV/0!</v>
      </c>
      <c r="J209" s="4"/>
      <c r="K209" s="173" t="s">
        <v>485</v>
      </c>
      <c r="L209" s="146" t="e">
        <f>+L208/(+$E$208+$I$208+$L$208)</f>
        <v>#DIV/0!</v>
      </c>
      <c r="M209" s="356"/>
      <c r="N209" s="183"/>
      <c r="Q209" s="161">
        <v>6</v>
      </c>
      <c r="R209" s="140">
        <f>+G174</f>
        <v>0</v>
      </c>
      <c r="S209" s="169" t="s">
        <v>485</v>
      </c>
      <c r="T209" s="146" t="e">
        <f>+T208/$AI$82</f>
        <v>#DIV/0!</v>
      </c>
      <c r="X209" s="61"/>
      <c r="AC209" s="489"/>
      <c r="AD209" s="446"/>
      <c r="AE209" s="57"/>
      <c r="AG209" s="45"/>
      <c r="AH209" s="57"/>
      <c r="AI209" s="57"/>
      <c r="AJ209" s="18"/>
      <c r="AK209" s="18"/>
      <c r="AL209" s="18"/>
    </row>
    <row r="210" spans="1:51" ht="17.25" customHeight="1" x14ac:dyDescent="0.25">
      <c r="B210" s="176">
        <v>8</v>
      </c>
      <c r="C210" s="177">
        <f>+I174</f>
        <v>0</v>
      </c>
      <c r="D210" s="178" t="s">
        <v>487</v>
      </c>
      <c r="E210" s="179" t="str">
        <f>IF(E208=MIN($E$208,$I$208,$L$208),"MENOR",IF(E208=MAX($E$208,$I$208,$L$208),"MAYOR","MEDIO"))</f>
        <v>MENOR</v>
      </c>
      <c r="F210" s="180">
        <v>7</v>
      </c>
      <c r="G210" s="181">
        <f>+H174</f>
        <v>0</v>
      </c>
      <c r="H210" s="182" t="s">
        <v>487</v>
      </c>
      <c r="I210" s="179" t="str">
        <f>IF(I208=MIN($E$208,$I$208,$L$208),"MENOR",IF(I208=MAX($E$208,$I$208,$L$208),"MAYOR","MEDIO"))</f>
        <v>MENOR</v>
      </c>
      <c r="J210" s="183"/>
      <c r="K210" s="357" t="s">
        <v>487</v>
      </c>
      <c r="L210" s="179" t="str">
        <f>IF(L208=MIN($E$208,$I$208,$L$208),"MENOR",IF(L208=MAX($E$208,$I$208,$L$208),"MAYOR","MEDIO"))</f>
        <v>MENOR</v>
      </c>
      <c r="M210" s="61"/>
      <c r="O210" s="583"/>
      <c r="P210" s="497"/>
      <c r="Q210" s="174">
        <v>7</v>
      </c>
      <c r="R210" s="148">
        <f>+H174</f>
        <v>0</v>
      </c>
      <c r="S210" s="175" t="s">
        <v>487</v>
      </c>
      <c r="T210" s="150" t="e">
        <f>IF(T209=MIN($T$205,$T$209,$T$213),"MENOR",IF(T209=MAX($T$205,$T$209,$T$213),"MAYOR","MEDIO"))</f>
        <v>#DIV/0!</v>
      </c>
      <c r="V210" s="18"/>
      <c r="X210" s="61"/>
      <c r="Y210" s="582"/>
      <c r="Z210" s="446"/>
      <c r="AA210" s="446"/>
      <c r="AB210" s="582"/>
      <c r="AC210" s="446"/>
      <c r="AD210" s="446"/>
      <c r="AE210" s="57"/>
      <c r="AG210" s="4"/>
      <c r="AH210" s="4"/>
      <c r="AI210" s="57"/>
      <c r="AJ210" s="18"/>
      <c r="AK210" s="18"/>
      <c r="AL210" s="18"/>
    </row>
    <row r="211" spans="1:51" ht="17.25" customHeight="1" x14ac:dyDescent="0.25">
      <c r="B211" s="61"/>
      <c r="M211" s="61"/>
      <c r="N211" s="18"/>
      <c r="Q211" s="186" t="s">
        <v>453</v>
      </c>
      <c r="R211" s="420" t="s">
        <v>537</v>
      </c>
      <c r="S211" s="374"/>
      <c r="T211" s="375"/>
      <c r="V211" s="18"/>
      <c r="X211" s="61"/>
      <c r="Y211" s="521"/>
      <c r="Z211" s="446"/>
      <c r="AA211" s="446"/>
      <c r="AB211" s="446"/>
      <c r="AC211" s="446"/>
      <c r="AD211" s="446"/>
      <c r="AG211" s="45"/>
      <c r="AH211" s="57"/>
      <c r="AI211" s="57"/>
      <c r="AK211" s="18"/>
      <c r="AL211" s="18"/>
    </row>
    <row r="212" spans="1:51" ht="17.25" customHeight="1" x14ac:dyDescent="0.25">
      <c r="B212" s="558" t="s">
        <v>495</v>
      </c>
      <c r="C212" s="398"/>
      <c r="D212" s="398"/>
      <c r="E212" s="398"/>
      <c r="F212" s="398"/>
      <c r="G212" s="398"/>
      <c r="H212" s="398"/>
      <c r="I212" s="398"/>
      <c r="J212" s="398"/>
      <c r="K212" s="398"/>
      <c r="L212" s="398"/>
      <c r="M212" s="398"/>
      <c r="N212" s="398"/>
      <c r="O212" s="399"/>
      <c r="Q212" s="187">
        <v>8</v>
      </c>
      <c r="R212" s="140">
        <f>+I174</f>
        <v>0</v>
      </c>
      <c r="S212" s="188" t="s">
        <v>420</v>
      </c>
      <c r="T212" s="142">
        <f>SUM(R212:R214)</f>
        <v>0</v>
      </c>
      <c r="V212" s="18"/>
      <c r="X212" s="61"/>
      <c r="Y212" s="523"/>
      <c r="Z212" s="446"/>
      <c r="AA212" s="446"/>
      <c r="AB212" s="446"/>
      <c r="AC212" s="446"/>
      <c r="AD212" s="446"/>
      <c r="AG212" s="45"/>
      <c r="AH212" s="57"/>
      <c r="AI212" s="57"/>
      <c r="AK212" s="18"/>
      <c r="AL212" s="18"/>
    </row>
    <row r="213" spans="1:51" ht="17.25" customHeight="1" x14ac:dyDescent="0.25">
      <c r="B213" s="584" t="s">
        <v>496</v>
      </c>
      <c r="C213" s="371"/>
      <c r="D213" s="371"/>
      <c r="E213" s="371"/>
      <c r="F213" s="371"/>
      <c r="G213" s="371"/>
      <c r="H213" s="371"/>
      <c r="I213" s="371"/>
      <c r="J213" s="371"/>
      <c r="K213" s="371"/>
      <c r="L213" s="371"/>
      <c r="M213" s="371"/>
      <c r="N213" s="371"/>
      <c r="O213" s="372"/>
      <c r="Q213" s="187">
        <v>9</v>
      </c>
      <c r="R213" s="140">
        <f>+J174</f>
        <v>0</v>
      </c>
      <c r="S213" s="189" t="s">
        <v>485</v>
      </c>
      <c r="T213" s="146" t="e">
        <f>+T212/$AI$82</f>
        <v>#DIV/0!</v>
      </c>
      <c r="V213" s="18"/>
      <c r="X213" s="61"/>
      <c r="AB213" s="68"/>
      <c r="AD213" s="18"/>
      <c r="AG213" s="45"/>
      <c r="AH213" s="57"/>
      <c r="AI213" s="57"/>
      <c r="AK213" s="18"/>
      <c r="AL213" s="18"/>
    </row>
    <row r="214" spans="1:51" ht="17.25" customHeight="1" x14ac:dyDescent="0.25">
      <c r="A214" s="18"/>
      <c r="B214" s="527" t="s">
        <v>497</v>
      </c>
      <c r="C214" s="427"/>
      <c r="D214" s="528" t="s">
        <v>498</v>
      </c>
      <c r="E214" s="529"/>
      <c r="F214" s="530"/>
      <c r="G214" s="531" t="s">
        <v>499</v>
      </c>
      <c r="H214" s="529"/>
      <c r="I214" s="530"/>
      <c r="J214" s="532" t="s">
        <v>500</v>
      </c>
      <c r="K214" s="529"/>
      <c r="L214" s="530"/>
      <c r="M214" s="527" t="s">
        <v>501</v>
      </c>
      <c r="N214" s="426"/>
      <c r="O214" s="427"/>
      <c r="P214" s="18"/>
      <c r="Q214" s="190">
        <v>1</v>
      </c>
      <c r="R214" s="148">
        <f>+B174</f>
        <v>0</v>
      </c>
      <c r="S214" s="191" t="s">
        <v>487</v>
      </c>
      <c r="T214" s="150" t="e">
        <f>IF(T213=MIN($T$205,$T$209,$T$213),"MENOR",IF(T213=MAX($T$205,$T$209,$T$213),"MAYOR","MEDIO"))</f>
        <v>#DIV/0!</v>
      </c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</row>
    <row r="215" spans="1:51" ht="17.25" customHeight="1" x14ac:dyDescent="0.25">
      <c r="A215" s="18"/>
      <c r="B215" s="394"/>
      <c r="C215" s="430"/>
      <c r="D215" s="192" t="s">
        <v>453</v>
      </c>
      <c r="E215" s="193" t="s">
        <v>493</v>
      </c>
      <c r="F215" s="194" t="s">
        <v>487</v>
      </c>
      <c r="G215" s="195" t="s">
        <v>453</v>
      </c>
      <c r="H215" s="196" t="s">
        <v>493</v>
      </c>
      <c r="I215" s="197" t="s">
        <v>487</v>
      </c>
      <c r="J215" s="198" t="s">
        <v>453</v>
      </c>
      <c r="K215" s="199" t="s">
        <v>493</v>
      </c>
      <c r="L215" s="200" t="s">
        <v>487</v>
      </c>
      <c r="M215" s="394"/>
      <c r="N215" s="429"/>
      <c r="O215" s="430"/>
      <c r="P215" s="18"/>
      <c r="Q215" s="579" t="s">
        <v>502</v>
      </c>
      <c r="R215" s="365"/>
      <c r="S215" s="365"/>
      <c r="T215" s="366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</row>
    <row r="216" spans="1:51" ht="17.25" customHeight="1" x14ac:dyDescent="0.25">
      <c r="A216" s="18"/>
      <c r="B216" s="412" t="s">
        <v>503</v>
      </c>
      <c r="C216" s="413"/>
      <c r="D216" s="201">
        <v>8</v>
      </c>
      <c r="E216" s="202">
        <f>+I174</f>
        <v>0</v>
      </c>
      <c r="F216" s="203" t="str">
        <f t="shared" ref="F216:F218" si="9">IF(E216=MIN($E$216:$E$218),"Menor",IF(E216=MAX($E$216:$E$218),"Mayor","Medio"))</f>
        <v>Menor</v>
      </c>
      <c r="G216" s="204">
        <v>2</v>
      </c>
      <c r="H216" s="205">
        <f>+C174</f>
        <v>0</v>
      </c>
      <c r="I216" s="203" t="str">
        <f t="shared" ref="I216:I218" si="10">IF(H216=MIN($H$216:$H$218),"Menor",IF(H216=MAX($H$216:$H$218),"Mayor","Medio"))</f>
        <v>Menor</v>
      </c>
      <c r="J216" s="206">
        <v>5</v>
      </c>
      <c r="K216" s="202">
        <f>+F174</f>
        <v>0</v>
      </c>
      <c r="L216" s="203" t="str">
        <f t="shared" ref="L216:L218" si="11">IF(K216=MIN($K$216:$K$218),"Menor",IF(K216=MAX($K$216:$K$218),"Mayor","Medio"))</f>
        <v>Menor</v>
      </c>
      <c r="M216" s="207">
        <f t="shared" ref="M216:M218" si="12">+E216+H216+K216</f>
        <v>0</v>
      </c>
      <c r="N216" s="208" t="e">
        <f t="shared" ref="N216:N218" si="13">+M216/$AI$82</f>
        <v>#DIV/0!</v>
      </c>
      <c r="O216" s="209" t="e">
        <f t="shared" ref="O216:O218" si="14">IF(N216=MIN($N$216:$N$218),"MENOR",IF(N216=MAX($N$216:$N$218),"MAYOR","MEDIO"))</f>
        <v>#DIV/0!</v>
      </c>
      <c r="P216" s="18"/>
      <c r="Q216" s="210" t="s">
        <v>453</v>
      </c>
      <c r="R216" s="526" t="s">
        <v>504</v>
      </c>
      <c r="S216" s="374"/>
      <c r="T216" s="375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</row>
    <row r="217" spans="1:51" ht="17.25" customHeight="1" x14ac:dyDescent="0.25">
      <c r="A217" s="18"/>
      <c r="B217" s="412" t="s">
        <v>505</v>
      </c>
      <c r="C217" s="413"/>
      <c r="D217" s="201">
        <v>9</v>
      </c>
      <c r="E217" s="202">
        <f>+J174</f>
        <v>0</v>
      </c>
      <c r="F217" s="203" t="str">
        <f t="shared" si="9"/>
        <v>Menor</v>
      </c>
      <c r="G217" s="204">
        <v>3</v>
      </c>
      <c r="H217" s="202">
        <f>+D174</f>
        <v>0</v>
      </c>
      <c r="I217" s="203" t="str">
        <f t="shared" si="10"/>
        <v>Menor</v>
      </c>
      <c r="J217" s="206">
        <v>6</v>
      </c>
      <c r="K217" s="202">
        <f>+G174</f>
        <v>0</v>
      </c>
      <c r="L217" s="203" t="str">
        <f t="shared" si="11"/>
        <v>Menor</v>
      </c>
      <c r="M217" s="211">
        <f t="shared" si="12"/>
        <v>0</v>
      </c>
      <c r="N217" s="212" t="e">
        <f t="shared" si="13"/>
        <v>#DIV/0!</v>
      </c>
      <c r="O217" s="213" t="e">
        <f t="shared" si="14"/>
        <v>#DIV/0!</v>
      </c>
      <c r="P217" s="18"/>
      <c r="Q217" s="214">
        <v>1</v>
      </c>
      <c r="R217" s="140">
        <f>+B174</f>
        <v>0</v>
      </c>
      <c r="S217" s="215" t="s">
        <v>420</v>
      </c>
      <c r="T217" s="142">
        <f>SUM(R217:R219)</f>
        <v>0</v>
      </c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</row>
    <row r="218" spans="1:51" ht="17.25" customHeight="1" x14ac:dyDescent="0.25">
      <c r="A218" s="18"/>
      <c r="B218" s="412" t="s">
        <v>506</v>
      </c>
      <c r="C218" s="413"/>
      <c r="D218" s="201">
        <v>1</v>
      </c>
      <c r="E218" s="202">
        <f>+B174</f>
        <v>0</v>
      </c>
      <c r="F218" s="203" t="str">
        <f t="shared" si="9"/>
        <v>Menor</v>
      </c>
      <c r="G218" s="204">
        <v>4</v>
      </c>
      <c r="H218" s="202">
        <f>+E174</f>
        <v>0</v>
      </c>
      <c r="I218" s="203" t="str">
        <f t="shared" si="10"/>
        <v>Menor</v>
      </c>
      <c r="J218" s="206">
        <v>7</v>
      </c>
      <c r="K218" s="202">
        <f>+H174</f>
        <v>0</v>
      </c>
      <c r="L218" s="203" t="str">
        <f t="shared" si="11"/>
        <v>Menor</v>
      </c>
      <c r="M218" s="211">
        <f t="shared" si="12"/>
        <v>0</v>
      </c>
      <c r="N218" s="212" t="e">
        <f t="shared" si="13"/>
        <v>#DIV/0!</v>
      </c>
      <c r="O218" s="213" t="e">
        <f t="shared" si="14"/>
        <v>#DIV/0!</v>
      </c>
      <c r="P218" s="18"/>
      <c r="Q218" s="214">
        <v>3</v>
      </c>
      <c r="R218" s="140">
        <f>+D174</f>
        <v>0</v>
      </c>
      <c r="S218" s="216" t="s">
        <v>485</v>
      </c>
      <c r="T218" s="146" t="e">
        <f>+T217/$AI$82</f>
        <v>#DIV/0!</v>
      </c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</row>
    <row r="219" spans="1:51" ht="17.25" customHeight="1" x14ac:dyDescent="0.25">
      <c r="A219" s="18"/>
      <c r="B219" s="217"/>
      <c r="C219" s="218"/>
      <c r="D219" s="219" t="s">
        <v>420</v>
      </c>
      <c r="E219" s="220">
        <f>SUM(E216:E218)</f>
        <v>0</v>
      </c>
      <c r="F219" s="221"/>
      <c r="G219" s="222" t="s">
        <v>420</v>
      </c>
      <c r="H219" s="220">
        <f>SUM(H216:H218)</f>
        <v>0</v>
      </c>
      <c r="I219" s="18"/>
      <c r="J219" s="223" t="s">
        <v>420</v>
      </c>
      <c r="K219" s="220">
        <f>SUM(K216:K218)</f>
        <v>0</v>
      </c>
      <c r="L219" s="224"/>
      <c r="M219" s="225"/>
      <c r="N219" s="225"/>
      <c r="O219" s="18"/>
      <c r="P219" s="18"/>
      <c r="Q219" s="226">
        <v>7</v>
      </c>
      <c r="R219" s="148">
        <f>+H174</f>
        <v>0</v>
      </c>
      <c r="S219" s="227" t="s">
        <v>487</v>
      </c>
      <c r="T219" s="150" t="e">
        <f>IF(T218=MIN($T$218,$T$222,$T$226),"MENOR",IF(T218=MAX($T$218,$T$222,$T$226),"MAYOR","MEDIO"))</f>
        <v>#DIV/0!</v>
      </c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</row>
    <row r="220" spans="1:51" ht="17.25" customHeight="1" x14ac:dyDescent="0.25">
      <c r="A220" s="18"/>
      <c r="B220" s="18"/>
      <c r="C220" s="228"/>
      <c r="D220" s="229" t="s">
        <v>485</v>
      </c>
      <c r="E220" s="146" t="e">
        <f>+E219/$AI$82</f>
        <v>#DIV/0!</v>
      </c>
      <c r="F220" s="230"/>
      <c r="G220" s="231" t="s">
        <v>485</v>
      </c>
      <c r="H220" s="146" t="e">
        <f>+H219/$AI$82</f>
        <v>#DIV/0!</v>
      </c>
      <c r="I220" s="232"/>
      <c r="J220" s="233" t="s">
        <v>485</v>
      </c>
      <c r="K220" s="146" t="e">
        <f>+K219/$AI$82</f>
        <v>#DIV/0!</v>
      </c>
      <c r="L220" s="18"/>
      <c r="M220" s="18"/>
      <c r="N220" s="18"/>
      <c r="O220" s="18"/>
      <c r="P220" s="18"/>
      <c r="Q220" s="234" t="s">
        <v>453</v>
      </c>
      <c r="R220" s="414" t="s">
        <v>553</v>
      </c>
      <c r="S220" s="374"/>
      <c r="T220" s="375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57"/>
      <c r="AI220" s="57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</row>
    <row r="221" spans="1:51" ht="17.25" customHeight="1" x14ac:dyDescent="0.25">
      <c r="A221" s="18"/>
      <c r="B221" s="18"/>
      <c r="C221" s="228"/>
      <c r="D221" s="235" t="s">
        <v>487</v>
      </c>
      <c r="E221" s="150" t="e">
        <f>IF(E220=MIN($E$220,$H$220,$K$220),"MENOR",IF(E220=MAX($E$220,$H$220,$K$220),"MAYOR","MEDIO"))</f>
        <v>#DIV/0!</v>
      </c>
      <c r="F221" s="236"/>
      <c r="G221" s="237" t="s">
        <v>487</v>
      </c>
      <c r="H221" s="150" t="e">
        <f>IF(H220=MIN($E$220,$H$220,$K$220),"MENOR",IF(H220=MAX($E$220,$H$220,$K$220),"MAYOR","MEDIO"))</f>
        <v>#DIV/0!</v>
      </c>
      <c r="I221" s="236"/>
      <c r="J221" s="238" t="s">
        <v>487</v>
      </c>
      <c r="K221" s="150" t="e">
        <f>IF(K220=MIN($E$220,$H$220,$K$220),"MENOR",IF(K220=MAX($E$220,$H$220,$K$220),"MAYOR","MEDIO"))</f>
        <v>#DIV/0!</v>
      </c>
      <c r="L221" s="239"/>
      <c r="M221" s="71"/>
      <c r="N221" s="71"/>
      <c r="O221" s="18"/>
      <c r="P221" s="18"/>
      <c r="Q221" s="240">
        <v>2</v>
      </c>
      <c r="R221" s="140">
        <f>+C174</f>
        <v>0</v>
      </c>
      <c r="S221" s="241" t="s">
        <v>420</v>
      </c>
      <c r="T221" s="142">
        <f>SUM(R221:R223)</f>
        <v>0</v>
      </c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57"/>
      <c r="AI221" s="57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</row>
    <row r="222" spans="1:51" ht="17.25" customHeight="1" x14ac:dyDescent="0.25">
      <c r="A222" s="18"/>
      <c r="B222" s="18"/>
      <c r="C222" s="578" t="s">
        <v>508</v>
      </c>
      <c r="D222" s="398"/>
      <c r="E222" s="398"/>
      <c r="F222" s="399"/>
      <c r="G222" s="579" t="s">
        <v>509</v>
      </c>
      <c r="H222" s="365"/>
      <c r="I222" s="365"/>
      <c r="J222" s="366"/>
      <c r="K222" s="579" t="s">
        <v>510</v>
      </c>
      <c r="L222" s="365"/>
      <c r="M222" s="365"/>
      <c r="N222" s="366"/>
      <c r="O222" s="18"/>
      <c r="P222" s="18"/>
      <c r="Q222" s="240">
        <v>5</v>
      </c>
      <c r="R222" s="140">
        <f>+F174</f>
        <v>0</v>
      </c>
      <c r="S222" s="242" t="s">
        <v>485</v>
      </c>
      <c r="T222" s="146" t="e">
        <f>+T221/$AI$82</f>
        <v>#DIV/0!</v>
      </c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</row>
    <row r="223" spans="1:51" ht="17.25" customHeight="1" x14ac:dyDescent="0.25">
      <c r="A223" s="18"/>
      <c r="B223" s="18"/>
      <c r="C223" s="243" t="s">
        <v>453</v>
      </c>
      <c r="D223" s="417" t="s">
        <v>511</v>
      </c>
      <c r="E223" s="374"/>
      <c r="F223" s="375"/>
      <c r="G223" s="244" t="s">
        <v>453</v>
      </c>
      <c r="H223" s="419" t="s">
        <v>512</v>
      </c>
      <c r="I223" s="374"/>
      <c r="J223" s="375"/>
      <c r="K223" s="186" t="s">
        <v>453</v>
      </c>
      <c r="L223" s="420" t="s">
        <v>513</v>
      </c>
      <c r="M223" s="374"/>
      <c r="N223" s="375"/>
      <c r="O223" s="18"/>
      <c r="P223" s="18"/>
      <c r="Q223" s="245">
        <v>9</v>
      </c>
      <c r="R223" s="148">
        <f>+J174</f>
        <v>0</v>
      </c>
      <c r="S223" s="246" t="s">
        <v>487</v>
      </c>
      <c r="T223" s="150" t="e">
        <f>IF(T222=MIN($T$218,$T$222,$T$226),"MENOR",IF(T222=MAX($T$218,$T$222,$T$226),"MAYOR","MEDIO"))</f>
        <v>#DIV/0!</v>
      </c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</row>
    <row r="224" spans="1:51" ht="17.25" customHeight="1" x14ac:dyDescent="0.25">
      <c r="A224" s="18"/>
      <c r="B224" s="18"/>
      <c r="C224" s="247">
        <v>1</v>
      </c>
      <c r="D224" s="48">
        <f>+B174</f>
        <v>0</v>
      </c>
      <c r="E224" s="248" t="s">
        <v>420</v>
      </c>
      <c r="F224" s="142">
        <f>SUM(D224:D226)</f>
        <v>0</v>
      </c>
      <c r="G224" s="249">
        <v>3</v>
      </c>
      <c r="H224" s="48">
        <f>+D174</f>
        <v>0</v>
      </c>
      <c r="I224" s="250" t="s">
        <v>420</v>
      </c>
      <c r="J224" s="142">
        <f>SUM(H224:H226)</f>
        <v>0</v>
      </c>
      <c r="K224" s="251">
        <v>6</v>
      </c>
      <c r="L224" s="48">
        <f>+G174</f>
        <v>0</v>
      </c>
      <c r="M224" s="188" t="s">
        <v>420</v>
      </c>
      <c r="N224" s="142">
        <f>SUM(L224:L226)</f>
        <v>0</v>
      </c>
      <c r="O224" s="18"/>
      <c r="P224" s="18"/>
      <c r="Q224" s="252" t="s">
        <v>453</v>
      </c>
      <c r="R224" s="418" t="s">
        <v>514</v>
      </c>
      <c r="S224" s="365"/>
      <c r="T224" s="366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</row>
    <row r="225" spans="1:51" ht="17.25" customHeight="1" x14ac:dyDescent="0.25">
      <c r="A225" s="18"/>
      <c r="B225" s="18"/>
      <c r="C225" s="247">
        <v>3</v>
      </c>
      <c r="D225" s="48">
        <f>+D174</f>
        <v>0</v>
      </c>
      <c r="E225" s="253" t="s">
        <v>485</v>
      </c>
      <c r="F225" s="146" t="e">
        <f>+F224/$AI$82</f>
        <v>#DIV/0!</v>
      </c>
      <c r="G225" s="249">
        <v>7</v>
      </c>
      <c r="H225" s="48">
        <f>+H174</f>
        <v>0</v>
      </c>
      <c r="I225" s="254" t="s">
        <v>485</v>
      </c>
      <c r="J225" s="146" t="e">
        <f>+J224/$AI$82</f>
        <v>#DIV/0!</v>
      </c>
      <c r="K225" s="251">
        <v>4</v>
      </c>
      <c r="L225" s="48">
        <f>+E174</f>
        <v>0</v>
      </c>
      <c r="M225" s="189" t="s">
        <v>485</v>
      </c>
      <c r="N225" s="146" t="e">
        <f>+N224/$AI$82</f>
        <v>#DIV/0!</v>
      </c>
      <c r="O225" s="18"/>
      <c r="P225" s="18"/>
      <c r="Q225" s="255">
        <v>4</v>
      </c>
      <c r="R225" s="140">
        <f>+E174</f>
        <v>0</v>
      </c>
      <c r="S225" s="256" t="s">
        <v>420</v>
      </c>
      <c r="T225" s="142">
        <f>SUM(R225:R227)</f>
        <v>0</v>
      </c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</row>
    <row r="226" spans="1:51" ht="17.25" customHeight="1" x14ac:dyDescent="0.25">
      <c r="A226" s="18"/>
      <c r="B226" s="18"/>
      <c r="C226" s="257">
        <v>8</v>
      </c>
      <c r="D226" s="258">
        <f>+I174</f>
        <v>0</v>
      </c>
      <c r="E226" s="259" t="s">
        <v>487</v>
      </c>
      <c r="F226" s="150" t="e">
        <f>IF(F225=MIN($F$233,$F$229,$F$225),"MENOR",IF(F225=MAX($F$233,$F$229,$F$225),"MAYOR","MEDIO"))</f>
        <v>#DIV/0!</v>
      </c>
      <c r="G226" s="260">
        <v>8</v>
      </c>
      <c r="H226" s="261">
        <f>+I174</f>
        <v>0</v>
      </c>
      <c r="I226" s="262" t="s">
        <v>487</v>
      </c>
      <c r="J226" s="150" t="e">
        <f>IF(J225=MIN($J$225,$J$229,$J$233),"MENOR",IF(J225=MAX($J$225,$J$229,$J$233),"MAYOR","MEDIO"))</f>
        <v>#DIV/0!</v>
      </c>
      <c r="K226" s="263">
        <v>8</v>
      </c>
      <c r="L226" s="261">
        <f>+I174</f>
        <v>0</v>
      </c>
      <c r="M226" s="191" t="s">
        <v>487</v>
      </c>
      <c r="N226" s="150" t="e">
        <f>IF(N225=MIN($N$225,$N$229,$N$233),"MENOR",IF(N225=MAX($N$225,$N$229,$N$233),"MAYOR","MEDIO"))</f>
        <v>#DIV/0!</v>
      </c>
      <c r="O226" s="18"/>
      <c r="P226" s="18"/>
      <c r="Q226" s="255">
        <v>6</v>
      </c>
      <c r="R226" s="140">
        <f>+G174</f>
        <v>0</v>
      </c>
      <c r="S226" s="264" t="s">
        <v>485</v>
      </c>
      <c r="T226" s="146" t="e">
        <f>+T225/$AI$82</f>
        <v>#DIV/0!</v>
      </c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</row>
    <row r="227" spans="1:51" ht="17.25" customHeight="1" x14ac:dyDescent="0.25">
      <c r="A227" s="18"/>
      <c r="B227" s="18"/>
      <c r="C227" s="265" t="s">
        <v>453</v>
      </c>
      <c r="D227" s="421" t="s">
        <v>515</v>
      </c>
      <c r="E227" s="374"/>
      <c r="F227" s="375"/>
      <c r="G227" s="266" t="s">
        <v>453</v>
      </c>
      <c r="H227" s="422" t="s">
        <v>516</v>
      </c>
      <c r="I227" s="374"/>
      <c r="J227" s="375"/>
      <c r="K227" s="267" t="s">
        <v>453</v>
      </c>
      <c r="L227" s="423" t="s">
        <v>517</v>
      </c>
      <c r="M227" s="374"/>
      <c r="N227" s="375"/>
      <c r="O227" s="18"/>
      <c r="P227" s="18"/>
      <c r="Q227" s="268">
        <v>8</v>
      </c>
      <c r="R227" s="148">
        <f>+I174</f>
        <v>0</v>
      </c>
      <c r="S227" s="269" t="s">
        <v>487</v>
      </c>
      <c r="T227" s="150" t="e">
        <f>IF(T226=MIN($T$218,$T$222,$T$226),"MENOR",IF(T226=MAX($T$218,$T$222,$T$226),"MAYOR","MEDIO"))</f>
        <v>#DIV/0!</v>
      </c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</row>
    <row r="228" spans="1:51" ht="17.25" customHeight="1" x14ac:dyDescent="0.25">
      <c r="A228" s="18"/>
      <c r="B228" s="18"/>
      <c r="C228" s="270">
        <v>2</v>
      </c>
      <c r="D228" s="48">
        <f>+C174</f>
        <v>0</v>
      </c>
      <c r="E228" s="271" t="s">
        <v>420</v>
      </c>
      <c r="F228" s="142">
        <f>SUM(D228:D230)</f>
        <v>0</v>
      </c>
      <c r="G228" s="272">
        <v>1</v>
      </c>
      <c r="H228" s="48">
        <f>+B174</f>
        <v>0</v>
      </c>
      <c r="I228" s="273" t="s">
        <v>420</v>
      </c>
      <c r="J228" s="142">
        <f>SUM(H228:H230)</f>
        <v>0</v>
      </c>
      <c r="K228" s="274">
        <v>3</v>
      </c>
      <c r="L228" s="48">
        <f>+D174</f>
        <v>0</v>
      </c>
      <c r="M228" s="275" t="s">
        <v>420</v>
      </c>
      <c r="N228" s="142">
        <f>SUM(L228:L230)</f>
        <v>0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</row>
    <row r="229" spans="1:51" ht="17.25" customHeight="1" x14ac:dyDescent="0.25">
      <c r="A229" s="18"/>
      <c r="B229" s="18"/>
      <c r="C229" s="270">
        <v>6</v>
      </c>
      <c r="D229" s="48">
        <f>+G174</f>
        <v>0</v>
      </c>
      <c r="E229" s="276" t="s">
        <v>485</v>
      </c>
      <c r="F229" s="146" t="e">
        <f>+F228/$AI$82</f>
        <v>#DIV/0!</v>
      </c>
      <c r="G229" s="272">
        <v>2</v>
      </c>
      <c r="H229" s="48">
        <f>+C174</f>
        <v>0</v>
      </c>
      <c r="I229" s="277" t="s">
        <v>485</v>
      </c>
      <c r="J229" s="146" t="e">
        <f>+J228/$AI$82</f>
        <v>#DIV/0!</v>
      </c>
      <c r="K229" s="274">
        <v>1</v>
      </c>
      <c r="L229" s="48">
        <f>+B174</f>
        <v>0</v>
      </c>
      <c r="M229" s="278" t="s">
        <v>485</v>
      </c>
      <c r="N229" s="146" t="e">
        <f>+N228/$AI$82</f>
        <v>#DIV/0!</v>
      </c>
      <c r="O229" s="18"/>
      <c r="P229" s="577" t="s">
        <v>518</v>
      </c>
      <c r="Q229" s="365"/>
      <c r="R229" s="365"/>
      <c r="S229" s="365"/>
      <c r="T229" s="366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</row>
    <row r="230" spans="1:51" ht="17.25" customHeight="1" x14ac:dyDescent="0.25">
      <c r="A230" s="18"/>
      <c r="B230" s="18"/>
      <c r="C230" s="279">
        <v>7</v>
      </c>
      <c r="D230" s="261">
        <f>+H174</f>
        <v>0</v>
      </c>
      <c r="E230" s="280" t="s">
        <v>487</v>
      </c>
      <c r="F230" s="150" t="e">
        <f>IF(F229=MIN($F$233,$F$229,$F$225),"MENOR",IF(F229=MAX($F$233,$F$229,$F$225),"MAYOR","MEDIO"))</f>
        <v>#DIV/0!</v>
      </c>
      <c r="G230" s="281">
        <v>6</v>
      </c>
      <c r="H230" s="258">
        <f>+G174</f>
        <v>0</v>
      </c>
      <c r="I230" s="282" t="s">
        <v>487</v>
      </c>
      <c r="J230" s="150" t="e">
        <f>IF(J229=MIN($J$225,$J$229,$J$233),"MENOR",IF(J229=MAX($J$225,$J$229,$J$233),"MAYOR","MEDIO"))</f>
        <v>#DIV/0!</v>
      </c>
      <c r="K230" s="283">
        <v>5</v>
      </c>
      <c r="L230" s="258">
        <f>+F174</f>
        <v>0</v>
      </c>
      <c r="M230" s="284" t="s">
        <v>487</v>
      </c>
      <c r="N230" s="150" t="e">
        <f>IF(N229=MIN($N$225,$N$229,$N$233),"MENOR",IF(N229=MAX($N$225,$N$229,$N$233),"MAYOR","MEDIO"))</f>
        <v>#DIV/0!</v>
      </c>
      <c r="O230" s="18"/>
      <c r="P230" s="358">
        <v>1</v>
      </c>
      <c r="Q230" s="425" t="str">
        <f>IF(Y90=1,AA90,"No")</f>
        <v>No</v>
      </c>
      <c r="R230" s="426"/>
      <c r="S230" s="426"/>
      <c r="T230" s="427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</row>
    <row r="231" spans="1:51" ht="17.25" customHeight="1" x14ac:dyDescent="0.25">
      <c r="A231" s="18"/>
      <c r="B231" s="18"/>
      <c r="C231" s="286" t="s">
        <v>453</v>
      </c>
      <c r="D231" s="537" t="s">
        <v>519</v>
      </c>
      <c r="E231" s="374"/>
      <c r="F231" s="375"/>
      <c r="G231" s="287" t="s">
        <v>453</v>
      </c>
      <c r="H231" s="538" t="s">
        <v>520</v>
      </c>
      <c r="I231" s="374"/>
      <c r="J231" s="375"/>
      <c r="K231" s="288" t="s">
        <v>453</v>
      </c>
      <c r="L231" s="431" t="s">
        <v>521</v>
      </c>
      <c r="M231" s="374"/>
      <c r="N231" s="375"/>
      <c r="O231" s="18"/>
      <c r="P231" s="289">
        <f>+B183</f>
        <v>0</v>
      </c>
      <c r="Q231" s="428"/>
      <c r="R231" s="429"/>
      <c r="S231" s="429"/>
      <c r="T231" s="430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</row>
    <row r="232" spans="1:51" ht="17.25" customHeight="1" x14ac:dyDescent="0.25">
      <c r="A232" s="18"/>
      <c r="B232" s="18"/>
      <c r="C232" s="290">
        <v>4</v>
      </c>
      <c r="D232" s="155">
        <f>+E174</f>
        <v>0</v>
      </c>
      <c r="E232" s="291" t="s">
        <v>420</v>
      </c>
      <c r="F232" s="142">
        <f>SUM(D232:D234)</f>
        <v>0</v>
      </c>
      <c r="G232" s="292">
        <v>4</v>
      </c>
      <c r="H232" s="155">
        <f>+E174</f>
        <v>0</v>
      </c>
      <c r="I232" s="293" t="s">
        <v>420</v>
      </c>
      <c r="J232" s="142">
        <f>SUM(H232:H234)</f>
        <v>0</v>
      </c>
      <c r="K232" s="294">
        <v>9</v>
      </c>
      <c r="L232" s="155">
        <f>+J174</f>
        <v>0</v>
      </c>
      <c r="M232" s="295" t="s">
        <v>420</v>
      </c>
      <c r="N232" s="142">
        <f>SUM(L232:L234)</f>
        <v>0</v>
      </c>
      <c r="O232" s="18"/>
      <c r="P232" s="358">
        <v>2</v>
      </c>
      <c r="Q232" s="425" t="str">
        <f>IF(Y91=1,AA91,"No")</f>
        <v>No</v>
      </c>
      <c r="R232" s="426"/>
      <c r="S232" s="426"/>
      <c r="T232" s="427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</row>
    <row r="233" spans="1:51" ht="17.25" customHeight="1" x14ac:dyDescent="0.25">
      <c r="A233" s="18"/>
      <c r="B233" s="18"/>
      <c r="C233" s="290">
        <v>5</v>
      </c>
      <c r="D233" s="155">
        <f>+F174</f>
        <v>0</v>
      </c>
      <c r="E233" s="296" t="s">
        <v>485</v>
      </c>
      <c r="F233" s="146" t="e">
        <f>+F232/$AI$82</f>
        <v>#DIV/0!</v>
      </c>
      <c r="G233" s="292">
        <v>5</v>
      </c>
      <c r="H233" s="155">
        <f>+F174</f>
        <v>0</v>
      </c>
      <c r="I233" s="297" t="s">
        <v>485</v>
      </c>
      <c r="J233" s="146" t="e">
        <f>+J232/$AI$82</f>
        <v>#DIV/0!</v>
      </c>
      <c r="K233" s="294">
        <v>2</v>
      </c>
      <c r="L233" s="155">
        <f>+C174</f>
        <v>0</v>
      </c>
      <c r="M233" s="298" t="s">
        <v>485</v>
      </c>
      <c r="N233" s="146" t="e">
        <f>+N232/$AI$82</f>
        <v>#DIV/0!</v>
      </c>
      <c r="O233" s="18"/>
      <c r="P233" s="289">
        <f>+C183</f>
        <v>0</v>
      </c>
      <c r="Q233" s="428"/>
      <c r="R233" s="429"/>
      <c r="S233" s="429"/>
      <c r="T233" s="430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</row>
    <row r="234" spans="1:51" ht="17.25" customHeight="1" x14ac:dyDescent="0.25">
      <c r="A234" s="18"/>
      <c r="B234" s="18"/>
      <c r="C234" s="299">
        <v>9</v>
      </c>
      <c r="D234" s="261">
        <f>+J174</f>
        <v>0</v>
      </c>
      <c r="E234" s="300" t="s">
        <v>487</v>
      </c>
      <c r="F234" s="150" t="e">
        <f>IF(F233=MIN($F$233,$F$229,$F$225),"MENOR",IF(F233=MAX($F$233,$F$229,$F$225),"MAYOR","MEDIO"))</f>
        <v>#DIV/0!</v>
      </c>
      <c r="G234" s="301">
        <v>9</v>
      </c>
      <c r="H234" s="261">
        <f>+J174</f>
        <v>0</v>
      </c>
      <c r="I234" s="302" t="s">
        <v>487</v>
      </c>
      <c r="J234" s="150" t="e">
        <f>IF(J233=MIN($J$225,$J$229,$J$233),"MENOR",IF(J233=MAX($J$225,$J$229,$J$233),"MAYOR","MEDIO"))</f>
        <v>#DIV/0!</v>
      </c>
      <c r="K234" s="303">
        <v>7</v>
      </c>
      <c r="L234" s="261">
        <f>+H174</f>
        <v>0</v>
      </c>
      <c r="M234" s="304" t="s">
        <v>487</v>
      </c>
      <c r="N234" s="150" t="e">
        <f>IF(N233=MIN($N$225,$N$229,$N$233),"MENOR",IF(N233=MAX($N$225,$N$229,$N$233),"MAYOR","MEDIO"))</f>
        <v>#DIV/0!</v>
      </c>
      <c r="O234" s="18"/>
      <c r="P234" s="358">
        <v>3</v>
      </c>
      <c r="Q234" s="425" t="str">
        <f>IF(Y92=1,AA92,"No")</f>
        <v>No</v>
      </c>
      <c r="R234" s="426"/>
      <c r="S234" s="426"/>
      <c r="T234" s="427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</row>
    <row r="235" spans="1:51" ht="17.25" customHeight="1" x14ac:dyDescent="0.25">
      <c r="A235" s="18"/>
      <c r="B235" s="71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289">
        <f>+D183</f>
        <v>0</v>
      </c>
      <c r="Q235" s="428"/>
      <c r="R235" s="429"/>
      <c r="S235" s="429"/>
      <c r="T235" s="430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</row>
    <row r="236" spans="1:51" ht="17.25" customHeight="1" x14ac:dyDescent="0.25">
      <c r="A236" s="18"/>
      <c r="B236" s="585" t="s">
        <v>522</v>
      </c>
      <c r="C236" s="359" t="s">
        <v>523</v>
      </c>
      <c r="D236" s="359" t="s">
        <v>524</v>
      </c>
      <c r="E236" s="580" t="s">
        <v>352</v>
      </c>
      <c r="F236" s="407"/>
      <c r="G236" s="580" t="s">
        <v>353</v>
      </c>
      <c r="H236" s="407"/>
      <c r="I236" s="580" t="s">
        <v>354</v>
      </c>
      <c r="J236" s="407"/>
      <c r="K236" s="580" t="s">
        <v>355</v>
      </c>
      <c r="L236" s="407"/>
      <c r="M236" s="580" t="s">
        <v>356</v>
      </c>
      <c r="N236" s="375"/>
      <c r="O236" s="18"/>
      <c r="P236" s="358">
        <v>4</v>
      </c>
      <c r="Q236" s="425" t="str">
        <f>IF(Y93=1,AA93,"No")</f>
        <v>No</v>
      </c>
      <c r="R236" s="426"/>
      <c r="S236" s="426"/>
      <c r="T236" s="427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</row>
    <row r="237" spans="1:51" ht="17.25" customHeight="1" x14ac:dyDescent="0.25">
      <c r="A237" s="18"/>
      <c r="B237" s="540"/>
      <c r="C237" s="533" t="e">
        <f>+VLOOKUP(1,$AJ$2:$AY$11,5,FALSE)</f>
        <v>#N/A</v>
      </c>
      <c r="D237" s="535" t="e">
        <f>+VLOOKUP(1,$AJ$2:$AY$11,6,FALSE)</f>
        <v>#N/A</v>
      </c>
      <c r="E237" s="536" t="e">
        <f>+VLOOKUP(1,$AJ$2:$AY$11,7,FALSE)</f>
        <v>#N/A</v>
      </c>
      <c r="F237" s="391"/>
      <c r="G237" s="536" t="e">
        <f>+VLOOKUP(1,$AJ$2:$AY$11,9,FALSE)</f>
        <v>#N/A</v>
      </c>
      <c r="H237" s="391"/>
      <c r="I237" s="536" t="e">
        <f>+VLOOKUP(1,$AJ$2:$AY$11,11,FALSE)</f>
        <v>#N/A</v>
      </c>
      <c r="J237" s="391"/>
      <c r="K237" s="536" t="e">
        <f>+VLOOKUP(1,$AJ$2:$AY$11,13,FALSE)</f>
        <v>#N/A</v>
      </c>
      <c r="L237" s="391"/>
      <c r="M237" s="536" t="e">
        <f>+VLOOKUP(1,$AJ$2:$AY$11,15,FALSE)</f>
        <v>#N/A</v>
      </c>
      <c r="N237" s="496"/>
      <c r="O237" s="18"/>
      <c r="P237" s="289">
        <f>+E183</f>
        <v>0</v>
      </c>
      <c r="Q237" s="428"/>
      <c r="R237" s="429"/>
      <c r="S237" s="429"/>
      <c r="T237" s="430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</row>
    <row r="238" spans="1:51" ht="17.25" customHeight="1" x14ac:dyDescent="0.25">
      <c r="A238" s="18"/>
      <c r="B238" s="540"/>
      <c r="C238" s="484"/>
      <c r="D238" s="484"/>
      <c r="E238" s="482"/>
      <c r="F238" s="393"/>
      <c r="G238" s="482"/>
      <c r="H238" s="393"/>
      <c r="I238" s="482"/>
      <c r="J238" s="393"/>
      <c r="K238" s="482"/>
      <c r="L238" s="393"/>
      <c r="M238" s="482"/>
      <c r="N238" s="497"/>
      <c r="O238" s="18"/>
      <c r="P238" s="358">
        <v>5</v>
      </c>
      <c r="Q238" s="425" t="str">
        <f>IF(Y94=1,AA94,"No")</f>
        <v>No</v>
      </c>
      <c r="R238" s="426"/>
      <c r="S238" s="426"/>
      <c r="T238" s="427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</row>
    <row r="239" spans="1:51" ht="17.25" customHeight="1" x14ac:dyDescent="0.25">
      <c r="B239" s="540"/>
      <c r="C239" s="484"/>
      <c r="D239" s="484"/>
      <c r="E239" s="482"/>
      <c r="F239" s="393"/>
      <c r="G239" s="482"/>
      <c r="H239" s="393"/>
      <c r="I239" s="482"/>
      <c r="J239" s="393"/>
      <c r="K239" s="482"/>
      <c r="L239" s="393"/>
      <c r="M239" s="482"/>
      <c r="N239" s="497"/>
      <c r="P239" s="289">
        <f>+F183</f>
        <v>0</v>
      </c>
      <c r="Q239" s="428"/>
      <c r="R239" s="429"/>
      <c r="S239" s="429"/>
      <c r="T239" s="430"/>
      <c r="U239" s="71"/>
      <c r="X239" s="61"/>
      <c r="AB239" s="68"/>
      <c r="AD239" s="18"/>
      <c r="AG239" s="45"/>
      <c r="AH239" s="57"/>
      <c r="AI239" s="57"/>
    </row>
    <row r="240" spans="1:51" ht="17.25" customHeight="1" x14ac:dyDescent="0.25">
      <c r="B240" s="540"/>
      <c r="C240" s="484"/>
      <c r="D240" s="484"/>
      <c r="E240" s="482"/>
      <c r="F240" s="393"/>
      <c r="G240" s="482"/>
      <c r="H240" s="393"/>
      <c r="I240" s="482"/>
      <c r="J240" s="393"/>
      <c r="K240" s="482"/>
      <c r="L240" s="393"/>
      <c r="M240" s="482"/>
      <c r="N240" s="497"/>
      <c r="P240" s="358">
        <v>6</v>
      </c>
      <c r="Q240" s="425" t="str">
        <f>IF(Y95=1,AA95,"No")</f>
        <v>No</v>
      </c>
      <c r="R240" s="426"/>
      <c r="S240" s="426"/>
      <c r="T240" s="427"/>
      <c r="X240" s="61"/>
      <c r="AB240" s="68"/>
      <c r="AD240" s="18"/>
      <c r="AG240" s="45"/>
      <c r="AH240" s="57"/>
      <c r="AI240" s="57"/>
    </row>
    <row r="241" spans="2:35" ht="17.25" customHeight="1" x14ac:dyDescent="0.25">
      <c r="B241" s="540"/>
      <c r="C241" s="484"/>
      <c r="D241" s="484"/>
      <c r="E241" s="482"/>
      <c r="F241" s="393"/>
      <c r="G241" s="482"/>
      <c r="H241" s="393"/>
      <c r="I241" s="482"/>
      <c r="J241" s="393"/>
      <c r="K241" s="482"/>
      <c r="L241" s="393"/>
      <c r="M241" s="482"/>
      <c r="N241" s="497"/>
      <c r="P241" s="289">
        <f>+G183</f>
        <v>0</v>
      </c>
      <c r="Q241" s="428"/>
      <c r="R241" s="429"/>
      <c r="S241" s="429"/>
      <c r="T241" s="430"/>
      <c r="X241" s="61"/>
      <c r="AB241" s="68"/>
      <c r="AD241" s="18"/>
      <c r="AG241" s="45"/>
      <c r="AH241" s="57"/>
      <c r="AI241" s="57"/>
    </row>
    <row r="242" spans="2:35" ht="17.25" customHeight="1" x14ac:dyDescent="0.25">
      <c r="B242" s="540"/>
      <c r="C242" s="484"/>
      <c r="D242" s="484"/>
      <c r="E242" s="482"/>
      <c r="F242" s="393"/>
      <c r="G242" s="482"/>
      <c r="H242" s="393"/>
      <c r="I242" s="482"/>
      <c r="J242" s="393"/>
      <c r="K242" s="482"/>
      <c r="L242" s="393"/>
      <c r="M242" s="482"/>
      <c r="N242" s="497"/>
      <c r="P242" s="358">
        <v>7</v>
      </c>
      <c r="Q242" s="425" t="str">
        <f>IF(Y96=1,AA96,"No")</f>
        <v>No</v>
      </c>
      <c r="R242" s="426"/>
      <c r="S242" s="426"/>
      <c r="T242" s="427"/>
      <c r="X242" s="61"/>
      <c r="AB242" s="68"/>
      <c r="AD242" s="18"/>
      <c r="AG242" s="45"/>
      <c r="AH242" s="57"/>
      <c r="AI242" s="57"/>
    </row>
    <row r="243" spans="2:35" ht="17.25" customHeight="1" x14ac:dyDescent="0.25">
      <c r="B243" s="540"/>
      <c r="C243" s="484"/>
      <c r="D243" s="484"/>
      <c r="E243" s="482"/>
      <c r="F243" s="393"/>
      <c r="G243" s="482"/>
      <c r="H243" s="393"/>
      <c r="I243" s="482"/>
      <c r="J243" s="393"/>
      <c r="K243" s="482"/>
      <c r="L243" s="393"/>
      <c r="M243" s="482"/>
      <c r="N243" s="497"/>
      <c r="P243" s="289">
        <f>+H183</f>
        <v>0</v>
      </c>
      <c r="Q243" s="428"/>
      <c r="R243" s="429"/>
      <c r="S243" s="429"/>
      <c r="T243" s="430"/>
      <c r="X243" s="61"/>
      <c r="AB243" s="68"/>
      <c r="AD243" s="18"/>
      <c r="AG243" s="45"/>
      <c r="AH243" s="57"/>
      <c r="AI243" s="57"/>
    </row>
    <row r="244" spans="2:35" ht="17.25" customHeight="1" x14ac:dyDescent="0.25">
      <c r="B244" s="540"/>
      <c r="C244" s="484"/>
      <c r="D244" s="484"/>
      <c r="E244" s="482"/>
      <c r="F244" s="393"/>
      <c r="G244" s="482"/>
      <c r="H244" s="393"/>
      <c r="I244" s="482"/>
      <c r="J244" s="393"/>
      <c r="K244" s="482"/>
      <c r="L244" s="393"/>
      <c r="M244" s="482"/>
      <c r="N244" s="497"/>
      <c r="P244" s="358">
        <v>8</v>
      </c>
      <c r="Q244" s="425" t="str">
        <f>IF(Y97=1,AA97,"No")</f>
        <v>No</v>
      </c>
      <c r="R244" s="426"/>
      <c r="S244" s="426"/>
      <c r="T244" s="427"/>
      <c r="X244" s="61"/>
      <c r="AB244" s="68"/>
      <c r="AD244" s="18"/>
      <c r="AG244" s="45"/>
      <c r="AH244" s="57"/>
      <c r="AI244" s="57"/>
    </row>
    <row r="245" spans="2:35" ht="17.25" customHeight="1" x14ac:dyDescent="0.25">
      <c r="B245" s="540"/>
      <c r="C245" s="484"/>
      <c r="D245" s="484"/>
      <c r="E245" s="482"/>
      <c r="F245" s="393"/>
      <c r="G245" s="482"/>
      <c r="H245" s="393"/>
      <c r="I245" s="482"/>
      <c r="J245" s="393"/>
      <c r="K245" s="482"/>
      <c r="L245" s="393"/>
      <c r="M245" s="482"/>
      <c r="N245" s="497"/>
      <c r="P245" s="289">
        <f>+I183</f>
        <v>0</v>
      </c>
      <c r="Q245" s="428"/>
      <c r="R245" s="429"/>
      <c r="S245" s="429"/>
      <c r="T245" s="430"/>
      <c r="X245" s="61"/>
      <c r="AB245" s="68"/>
      <c r="AD245" s="18"/>
      <c r="AG245" s="45"/>
      <c r="AH245" s="57"/>
      <c r="AI245" s="57"/>
    </row>
    <row r="246" spans="2:35" ht="17.25" customHeight="1" x14ac:dyDescent="0.25">
      <c r="B246" s="540"/>
      <c r="C246" s="484"/>
      <c r="D246" s="484"/>
      <c r="E246" s="482"/>
      <c r="F246" s="393"/>
      <c r="G246" s="482"/>
      <c r="H246" s="393"/>
      <c r="I246" s="482"/>
      <c r="J246" s="393"/>
      <c r="K246" s="482"/>
      <c r="L246" s="393"/>
      <c r="M246" s="482"/>
      <c r="N246" s="497"/>
      <c r="P246" s="358">
        <v>9</v>
      </c>
      <c r="Q246" s="425" t="str">
        <f>IF(Y98=1,AA98,"No")</f>
        <v>No</v>
      </c>
      <c r="R246" s="426"/>
      <c r="S246" s="426"/>
      <c r="T246" s="427"/>
      <c r="X246" s="61"/>
      <c r="AB246" s="68"/>
      <c r="AD246" s="18"/>
      <c r="AG246" s="45"/>
      <c r="AH246" s="57"/>
      <c r="AI246" s="57"/>
    </row>
    <row r="247" spans="2:35" ht="17.25" customHeight="1" x14ac:dyDescent="0.25">
      <c r="B247" s="460"/>
      <c r="C247" s="534"/>
      <c r="D247" s="534"/>
      <c r="E247" s="428"/>
      <c r="F247" s="395"/>
      <c r="G247" s="428"/>
      <c r="H247" s="395"/>
      <c r="I247" s="428"/>
      <c r="J247" s="395"/>
      <c r="K247" s="428"/>
      <c r="L247" s="395"/>
      <c r="M247" s="428"/>
      <c r="N247" s="430"/>
      <c r="P247" s="289">
        <f>+J183</f>
        <v>0</v>
      </c>
      <c r="Q247" s="428"/>
      <c r="R247" s="429"/>
      <c r="S247" s="429"/>
      <c r="T247" s="430"/>
      <c r="X247" s="61"/>
      <c r="AB247" s="68"/>
      <c r="AD247" s="18"/>
      <c r="AG247" s="45"/>
      <c r="AH247" s="57"/>
      <c r="AI247" s="57"/>
    </row>
    <row r="248" spans="2:35" ht="15.75" customHeight="1" x14ac:dyDescent="0.25"/>
    <row r="249" spans="2:35" ht="15.75" customHeight="1" x14ac:dyDescent="0.25"/>
    <row r="250" spans="2:35" ht="15.75" customHeight="1" x14ac:dyDescent="0.25"/>
    <row r="251" spans="2:35" ht="15.75" customHeight="1" x14ac:dyDescent="0.25"/>
    <row r="252" spans="2:35" ht="15.75" customHeight="1" x14ac:dyDescent="0.25"/>
    <row r="253" spans="2:35" ht="15.75" customHeight="1" x14ac:dyDescent="0.25"/>
    <row r="254" spans="2:35" ht="15.75" customHeight="1" x14ac:dyDescent="0.25"/>
    <row r="255" spans="2:35" ht="15.75" customHeight="1" x14ac:dyDescent="0.25"/>
    <row r="256" spans="2:3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3">
    <mergeCell ref="E237:F247"/>
    <mergeCell ref="Y211:AD211"/>
    <mergeCell ref="Y212:AD212"/>
    <mergeCell ref="K203:P203"/>
    <mergeCell ref="K204:P204"/>
    <mergeCell ref="R207:T207"/>
    <mergeCell ref="AC208:AD208"/>
    <mergeCell ref="AC209:AD209"/>
    <mergeCell ref="Y210:AA210"/>
    <mergeCell ref="AB210:AD210"/>
    <mergeCell ref="O210:P210"/>
    <mergeCell ref="R211:T211"/>
    <mergeCell ref="B212:O212"/>
    <mergeCell ref="Q240:T241"/>
    <mergeCell ref="Q230:T231"/>
    <mergeCell ref="L231:N231"/>
    <mergeCell ref="Q232:T233"/>
    <mergeCell ref="Q234:T235"/>
    <mergeCell ref="K236:L236"/>
    <mergeCell ref="M236:N236"/>
    <mergeCell ref="Q236:T237"/>
    <mergeCell ref="F200:G200"/>
    <mergeCell ref="H200:I200"/>
    <mergeCell ref="J200:J201"/>
    <mergeCell ref="L200:M200"/>
    <mergeCell ref="O200:P200"/>
    <mergeCell ref="L201:M201"/>
    <mergeCell ref="O201:P201"/>
    <mergeCell ref="B213:O213"/>
    <mergeCell ref="D214:F214"/>
    <mergeCell ref="G214:I214"/>
    <mergeCell ref="Q215:T215"/>
    <mergeCell ref="R216:T216"/>
    <mergeCell ref="D223:F223"/>
    <mergeCell ref="D227:F227"/>
    <mergeCell ref="H227:J227"/>
    <mergeCell ref="L227:N227"/>
    <mergeCell ref="P229:T229"/>
    <mergeCell ref="B214:C215"/>
    <mergeCell ref="B216:C216"/>
    <mergeCell ref="B217:C217"/>
    <mergeCell ref="B218:C218"/>
    <mergeCell ref="C222:F222"/>
    <mergeCell ref="G222:J222"/>
    <mergeCell ref="H223:J223"/>
    <mergeCell ref="Q238:T239"/>
    <mergeCell ref="D231:F231"/>
    <mergeCell ref="H231:J231"/>
    <mergeCell ref="G237:H247"/>
    <mergeCell ref="I237:J247"/>
    <mergeCell ref="K237:L247"/>
    <mergeCell ref="M237:N247"/>
    <mergeCell ref="Q242:T243"/>
    <mergeCell ref="Q244:T245"/>
    <mergeCell ref="Q246:T247"/>
    <mergeCell ref="B236:B247"/>
    <mergeCell ref="E236:F236"/>
    <mergeCell ref="G236:H236"/>
    <mergeCell ref="I236:J236"/>
    <mergeCell ref="C237:C247"/>
    <mergeCell ref="D237:D247"/>
    <mergeCell ref="Q201:T201"/>
    <mergeCell ref="Q202:T202"/>
    <mergeCell ref="R203:T203"/>
    <mergeCell ref="J214:L214"/>
    <mergeCell ref="M214:O215"/>
    <mergeCell ref="R220:T220"/>
    <mergeCell ref="K222:N222"/>
    <mergeCell ref="L223:N223"/>
    <mergeCell ref="R224:T224"/>
    <mergeCell ref="B195:J195"/>
    <mergeCell ref="L195:M195"/>
    <mergeCell ref="N195:O195"/>
    <mergeCell ref="P195:Q195"/>
    <mergeCell ref="R195:S195"/>
    <mergeCell ref="L196:T198"/>
    <mergeCell ref="J197:J198"/>
    <mergeCell ref="D198:E198"/>
    <mergeCell ref="F198:G198"/>
    <mergeCell ref="H198:I198"/>
    <mergeCell ref="L190:T190"/>
    <mergeCell ref="L193:M193"/>
    <mergeCell ref="N193:O193"/>
    <mergeCell ref="P193:Q193"/>
    <mergeCell ref="R193:S193"/>
    <mergeCell ref="L194:M194"/>
    <mergeCell ref="N194:O194"/>
    <mergeCell ref="P194:Q194"/>
    <mergeCell ref="R194:S194"/>
    <mergeCell ref="P174:T174"/>
    <mergeCell ref="P175:T175"/>
    <mergeCell ref="P176:Q176"/>
    <mergeCell ref="M178:S178"/>
    <mergeCell ref="L179:T185"/>
    <mergeCell ref="M186:O186"/>
    <mergeCell ref="P186:S186"/>
    <mergeCell ref="M187:O187"/>
    <mergeCell ref="P187:S187"/>
    <mergeCell ref="B199:C199"/>
    <mergeCell ref="D199:E199"/>
    <mergeCell ref="F199:G199"/>
    <mergeCell ref="H199:I199"/>
    <mergeCell ref="B200:C200"/>
    <mergeCell ref="D200:E200"/>
    <mergeCell ref="F204:H204"/>
    <mergeCell ref="B205:L205"/>
    <mergeCell ref="C206:E206"/>
    <mergeCell ref="G206:I206"/>
    <mergeCell ref="J206:J207"/>
    <mergeCell ref="K206:L207"/>
    <mergeCell ref="B201:C201"/>
    <mergeCell ref="D201:E201"/>
    <mergeCell ref="F201:G201"/>
    <mergeCell ref="H201:I201"/>
    <mergeCell ref="B202:D202"/>
    <mergeCell ref="B203:D203"/>
    <mergeCell ref="B204:D204"/>
    <mergeCell ref="O124:T124"/>
    <mergeCell ref="B109:T109"/>
    <mergeCell ref="J110:L110"/>
    <mergeCell ref="B111:T111"/>
    <mergeCell ref="B115:E115"/>
    <mergeCell ref="F115:R115"/>
    <mergeCell ref="B118:T118"/>
    <mergeCell ref="B120:C120"/>
    <mergeCell ref="B198:C198"/>
    <mergeCell ref="B171:E171"/>
    <mergeCell ref="B175:C175"/>
    <mergeCell ref="F176:G176"/>
    <mergeCell ref="B177:G177"/>
    <mergeCell ref="B178:G178"/>
    <mergeCell ref="B179:G179"/>
    <mergeCell ref="B180:J180"/>
    <mergeCell ref="B184:D184"/>
    <mergeCell ref="F171:R171"/>
    <mergeCell ref="B172:J172"/>
    <mergeCell ref="M172:N172"/>
    <mergeCell ref="Q172:R172"/>
    <mergeCell ref="S172:T172"/>
    <mergeCell ref="P173:T173"/>
    <mergeCell ref="E175:J175"/>
    <mergeCell ref="B102:C102"/>
    <mergeCell ref="M102:N102"/>
    <mergeCell ref="B104:T104"/>
    <mergeCell ref="G106:O106"/>
    <mergeCell ref="R116:S116"/>
    <mergeCell ref="O121:Q121"/>
    <mergeCell ref="R121:T121"/>
    <mergeCell ref="O122:T122"/>
    <mergeCell ref="O123:T123"/>
    <mergeCell ref="X75:Y75"/>
    <mergeCell ref="Z77:AH77"/>
    <mergeCell ref="X79:Y79"/>
    <mergeCell ref="X80:Y80"/>
    <mergeCell ref="X81:Y81"/>
    <mergeCell ref="X82:Y82"/>
    <mergeCell ref="X84:Y84"/>
    <mergeCell ref="Z84:AF87"/>
    <mergeCell ref="AG84:AG87"/>
    <mergeCell ref="AV9:AW9"/>
    <mergeCell ref="AX9:AY9"/>
    <mergeCell ref="AV10:AW10"/>
    <mergeCell ref="AX10:AY10"/>
    <mergeCell ref="AV11:AW11"/>
    <mergeCell ref="AX11:AY11"/>
    <mergeCell ref="AP7:AQ7"/>
    <mergeCell ref="AP8:AQ8"/>
    <mergeCell ref="AR8:AS8"/>
    <mergeCell ref="AT8:AU8"/>
    <mergeCell ref="AV8:AW8"/>
    <mergeCell ref="AX8:AY8"/>
    <mergeCell ref="AP9:AQ9"/>
    <mergeCell ref="AR9:AS9"/>
    <mergeCell ref="AT9:AU9"/>
    <mergeCell ref="AP10:AQ10"/>
    <mergeCell ref="AR10:AS10"/>
    <mergeCell ref="AT10:AU10"/>
    <mergeCell ref="AR11:AS11"/>
    <mergeCell ref="AT11:AU11"/>
    <mergeCell ref="AP11:AQ11"/>
    <mergeCell ref="AV5:AW5"/>
    <mergeCell ref="AX5:AY5"/>
    <mergeCell ref="AV6:AW6"/>
    <mergeCell ref="AX6:AY6"/>
    <mergeCell ref="AV7:AW7"/>
    <mergeCell ref="AX7:AY7"/>
    <mergeCell ref="AP3:AQ3"/>
    <mergeCell ref="AP4:AQ4"/>
    <mergeCell ref="AR4:AS4"/>
    <mergeCell ref="AT4:AU4"/>
    <mergeCell ref="AV4:AW4"/>
    <mergeCell ref="AX4:AY4"/>
    <mergeCell ref="AP5:AQ5"/>
    <mergeCell ref="AR5:AS5"/>
    <mergeCell ref="AT5:AU5"/>
    <mergeCell ref="AP6:AQ6"/>
    <mergeCell ref="AR6:AS6"/>
    <mergeCell ref="AT6:AU6"/>
    <mergeCell ref="AR7:AS7"/>
    <mergeCell ref="AT7:AU7"/>
    <mergeCell ref="AT3:AU3"/>
    <mergeCell ref="AV3:AW3"/>
    <mergeCell ref="AP2:AQ2"/>
    <mergeCell ref="AR2:AS2"/>
    <mergeCell ref="AT2:AU2"/>
    <mergeCell ref="AV2:AW2"/>
    <mergeCell ref="AX2:AY2"/>
    <mergeCell ref="AR3:AS3"/>
    <mergeCell ref="AX3:AY3"/>
    <mergeCell ref="O1:W1"/>
    <mergeCell ref="Z1:AH1"/>
    <mergeCell ref="AP1:AQ1"/>
    <mergeCell ref="AR1:AS1"/>
    <mergeCell ref="AT1:AU1"/>
    <mergeCell ref="AV1:AW1"/>
    <mergeCell ref="AX1:AY1"/>
    <mergeCell ref="B1:B2"/>
    <mergeCell ref="C1:C2"/>
    <mergeCell ref="D1:L1"/>
    <mergeCell ref="M1:M2"/>
    <mergeCell ref="N1:N2"/>
    <mergeCell ref="X1:X2"/>
    <mergeCell ref="Y1:Y2"/>
  </mergeCells>
  <dataValidations count="4">
    <dataValidation type="decimal" allowBlank="1" showInputMessage="1" showErrorMessage="1" prompt="error - El número que escibes es incorrecto" sqref="G108" xr:uid="{00000000-0002-0000-0300-000000000000}">
      <formula1>0</formula1>
      <formula2>30</formula2>
    </dataValidation>
    <dataValidation type="date" allowBlank="1" showInputMessage="1" showErrorMessage="1" prompt="La fecha que tipeas es incorrecta" sqref="J110" xr:uid="{00000000-0002-0000-0300-000001000000}">
      <formula1>1</formula1>
      <formula2>47848</formula2>
    </dataValidation>
    <dataValidation type="decimal" allowBlank="1" showInputMessage="1" showErrorMessage="1" prompt="Error - Introduce tu edad en años (número)" sqref="K112" xr:uid="{00000000-0002-0000-0300-000002000000}">
      <formula1>0</formula1>
      <formula2>99</formula2>
    </dataValidation>
    <dataValidation type="decimal" allowBlank="1" showInputMessage="1" showErrorMessage="1" prompt="El número que escibes es incorrecto" sqref="H108:O108" xr:uid="{00000000-0002-0000-0300-000003000000}">
      <formula1>0</formula1>
      <formula2>30</formula2>
    </dataValidation>
  </dataValidations>
  <pageMargins left="0.15748031496062992" right="0.15748031496062992" top="0.15748031496062992" bottom="0.15748031496062992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AFIRMACIONES</vt:lpstr>
      <vt:lpstr>ENEAGRAMA</vt:lpstr>
      <vt:lpstr>PLANILLA PARA EL FORMADOR</vt:lpstr>
      <vt:lpstr>ENEGRAMA ANTERIOR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Heidi Ayelen Trape Zalazar</cp:lastModifiedBy>
  <dcterms:modified xsi:type="dcterms:W3CDTF">2026-02-10T18:01:11Z</dcterms:modified>
</cp:coreProperties>
</file>